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4e9864875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a5e40a370e4709"/>
    <x:sheet xmlns:r="http://schemas.openxmlformats.org/officeDocument/2006/relationships" name="Signature_Registry" sheetId="2" r:id="R7b4000d86f764e6f"/>
    <x:sheet xmlns:r="http://schemas.openxmlformats.org/officeDocument/2006/relationships" name="Cohort_Scales" sheetId="3" r:id="R66777e43643044d9"/>
    <x:sheet xmlns:r="http://schemas.openxmlformats.org/officeDocument/2006/relationships" name="Implementation_48" sheetId="4" r:id="R0401802a9c214fb8"/>
    <x:sheet xmlns:r="http://schemas.openxmlformats.org/officeDocument/2006/relationships" name="Gene_Coverage" sheetId="5" r:id="R67024c1be90b4967"/>
    <x:sheet xmlns:r="http://schemas.openxmlformats.org/officeDocument/2006/relationships" name="Score_QC" sheetId="6" r:id="R7b3b19a2bf3540e7"/>
    <x:sheet xmlns:r="http://schemas.openxmlformats.org/officeDocument/2006/relationships" name="Expression_Scale_QC" sheetId="7" r:id="R297068af96654772"/>
    <x:sheet xmlns:r="http://schemas.openxmlformats.org/officeDocument/2006/relationships" name="Formula_Impact" sheetId="8" r:id="R49ed7d25dcc446cd"/>
    <x:sheet xmlns:r="http://schemas.openxmlformats.org/officeDocument/2006/relationships" name="v1_1_Key_Results" sheetId="9" r:id="R9360f1963fab4a39"/>
    <x:sheet xmlns:r="http://schemas.openxmlformats.org/officeDocument/2006/relationships" name="v1_1_Change_Log" sheetId="10" r:id="Raafe3daca3b94ce0"/>
    <x:sheet xmlns:r="http://schemas.openxmlformats.org/officeDocument/2006/relationships" name="Risk_Register" sheetId="11" r:id="Ra5ccefe4c51e4e91"/>
    <x:sheet xmlns:r="http://schemas.openxmlformats.org/officeDocument/2006/relationships" name="Historical_Map" sheetId="12" r:id="R299e917c2e99441a"/>
    <x:sheet xmlns:r="http://schemas.openxmlformats.org/officeDocument/2006/relationships" name="File_Trace" sheetId="13" r:id="R94eef6b44ae3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#,##0"/>
    <x:numFmt numFmtId="202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212B"/>
      <x:name val="Carlito"/>
    </x:font>
    <x:font>
      <x:b/>
      <x:sz val="9"/>
      <x:color rgb="FFFFFFFF"/>
      <x:name val="Carlito"/>
    </x:font>
    <x:font>
      <x:sz val="8"/>
      <x:color rgb="FF17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0">
    <x:border/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1" fontId="6" fillId="4" borderId="2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4" borderId="5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2" fontId="6" fillId="4" borderId="2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4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1" fontId="6" fillId="4" borderId="3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4" borderId="6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2" fontId="6" fillId="4" borderId="3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4" borderId="6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201" fontId="6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298df2bbc4387" /><Relationship Type="http://schemas.openxmlformats.org/officeDocument/2006/relationships/theme" Target="/xl/theme/theme1.xml" Id="Re874db7a11114dcb" /><Relationship Type="http://schemas.openxmlformats.org/officeDocument/2006/relationships/sharedStrings" Target="/xl/sharedStrings.xml" Id="R16027959ee50454f" /><Relationship Type="http://schemas.openxmlformats.org/officeDocument/2006/relationships/worksheet" Target="/xl/worksheets/sheet1.xml" Id="R6ea5e40a370e4709" /><Relationship Type="http://schemas.openxmlformats.org/officeDocument/2006/relationships/worksheet" Target="/xl/worksheets/sheet2.xml" Id="R7b4000d86f764e6f" /><Relationship Type="http://schemas.openxmlformats.org/officeDocument/2006/relationships/worksheet" Target="/xl/worksheets/sheet3.xml" Id="R66777e43643044d9" /><Relationship Type="http://schemas.openxmlformats.org/officeDocument/2006/relationships/worksheet" Target="/xl/worksheets/sheet4.xml" Id="R0401802a9c214fb8" /><Relationship Type="http://schemas.openxmlformats.org/officeDocument/2006/relationships/worksheet" Target="/xl/worksheets/sheet5.xml" Id="R67024c1be90b4967" /><Relationship Type="http://schemas.openxmlformats.org/officeDocument/2006/relationships/worksheet" Target="/xl/worksheets/sheet6.xml" Id="R7b3b19a2bf3540e7" /><Relationship Type="http://schemas.openxmlformats.org/officeDocument/2006/relationships/worksheet" Target="/xl/worksheets/sheet7.xml" Id="R297068af96654772" /><Relationship Type="http://schemas.openxmlformats.org/officeDocument/2006/relationships/worksheet" Target="/xl/worksheets/sheet8.xml" Id="R49ed7d25dcc446cd" /><Relationship Type="http://schemas.openxmlformats.org/officeDocument/2006/relationships/worksheet" Target="/xl/worksheets/sheet9.xml" Id="R9360f1963fab4a39" /><Relationship Type="http://schemas.openxmlformats.org/officeDocument/2006/relationships/worksheet" Target="/xl/worksheets/sheet10.xml" Id="Raafe3daca3b94ce0" /><Relationship Type="http://schemas.openxmlformats.org/officeDocument/2006/relationships/worksheet" Target="/xl/worksheets/sheet11.xml" Id="Ra5ccefe4c51e4e91" /><Relationship Type="http://schemas.openxmlformats.org/officeDocument/2006/relationships/worksheet" Target="/xl/worksheets/sheet12.xml" Id="R299e917c2e99441a" /><Relationship Type="http://schemas.openxmlformats.org/officeDocument/2006/relationships/worksheet" Target="/xl/worksheets/sheet13.xml" Id="R94eef6b44ae3427d" /></Relationships>
</file>

<file path=xl/tables/table1.xml><?xml version="1.0" encoding="utf-8"?>
<x:table xmlns:x="http://schemas.openxmlformats.org/spreadsheetml/2006/main" id="1" name="SignatureRegistryTable" displayName="SignatureRegistryTable" ref="A3:O11" headerRowCount="1" totalsRowCount="0" totalsRowShown="0">
  <x:tableColumns count="15">
    <x:tableColumn id="1" name="signature_id"/>
    <x:tableColumn id="2" name="signature_name"/>
    <x:tableColumn id="3" name="published_formula"/>
    <x:tableColumn id="4" name="implemented_formula_v1_0_1"/>
    <x:tableColumn id="5" name="original_platform_and_scale"/>
    <x:tableColumn id="6" name="required_gene_n"/>
    <x:tableColumn id="7" name="direction_coefficient"/>
    <x:tableColumn id="8" name="function_name"/>
    <x:tableColumn id="9" name="function_line"/>
    <x:tableColumn id="10" name="code_sha256"/>
    <x:tableColumn id="11" name="doi"/>
    <x:tableColumn id="12" name="source_url"/>
    <x:tableColumn id="13" name="source_difference"/>
    <x:tableColumn id="14" name="mathematical_impact"/>
    <x:tableColumn id="15" name="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ScalesTable" displayName="CohortScalesTable" ref="A3:F9" headerRowCount="1" totalsRowCount="0" totalsRowShown="0">
  <x:tableColumns count="6">
    <x:tableColumn id="1" name="dataset"/>
    <x:tableColumn id="2" name="platform"/>
    <x:tableColumn id="3" name="raw_type"/>
    <x:tableColumn id="4" name="actual_preprocessing"/>
    <x:tableColumn id="5" name="probe_rule"/>
    <x:tableColumn id="6" name="scal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lementation48Table" displayName="Implementation48Table" ref="A3:AE51" headerRowCount="1" totalsRowCount="0" totalsRowShown="0">
  <x:tableColumns count="31">
    <x:tableColumn id="1" name="signature_id"/>
    <x:tableColumn id="2" name="signature_name"/>
    <x:tableColumn id="3" name="dataset"/>
    <x:tableColumn id="4" name="platform"/>
    <x:tableColumn id="5" name="raw_data_type"/>
    <x:tableColumn id="6" name="actual_preprocessing_scale"/>
    <x:tableColumn id="7" name="probe_or_feature_aggregation"/>
    <x:tableColumn id="8" name="scale_boundary"/>
    <x:tableColumn id="9" name="required_gene_n"/>
    <x:tableColumn id="10" name="present_gene_n"/>
    <x:tableColumn id="11" name="coverage_percent"/>
    <x:tableColumn id="12" name="retained_feature_n"/>
    <x:tableColumn id="13" name="multi_feature_gene_n"/>
    <x:tableColumn id="14" name="max_features_per_gene"/>
    <x:tableColumn id="15" name="sample_n"/>
    <x:tableColumn id="16" name="nonpositive_required_values_n"/>
    <x:tableColumn id="17" name="missing_required_values_n"/>
    <x:tableColumn id="18" name="function_name"/>
    <x:tableColumn id="19" name="function_line"/>
    <x:tableColumn id="20" name="direction_coefficient"/>
    <x:tableColumn id="21" name="max_score_recalculation_error"/>
    <x:tableColumn id="22" name="max_oriented_score_error"/>
    <x:tableColumn id="23" name="manual_check_n"/>
    <x:tableColumn id="24" name="manual_check_fail_n"/>
    <x:tableColumn id="25" name="reconstruction_record_n"/>
    <x:tableColumn id="26" name="reconstruction_fail_n"/>
    <x:tableColumn id="27" name="max_reconstruction_raw_error"/>
    <x:tableColumn id="28" name="max_reconstruction_delta_z_error"/>
    <x:tableColumn id="29" name="source_difference"/>
    <x:tableColumn id="30" name="mathematical_impact"/>
    <x:tableColumn id="31" name="ris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CoverageTable" displayName="GeneCoverageTable" ref="A3:L471" headerRowCount="1" totalsRowCount="0" totalsRowShown="0">
  <x:tableColumns count="12">
    <x:tableColumn id="1" name="dataset"/>
    <x:tableColumn id="2" name="signature_id"/>
    <x:tableColumn id="3" name="gene"/>
    <x:tableColumn id="4" name="feature_n"/>
    <x:tableColumn id="5" name="original_symbols"/>
    <x:tableColumn id="6" name="canonical_symbol"/>
    <x:tableColumn id="7" name="historical_mapping_used"/>
    <x:tableColumn id="8" name="expression_min"/>
    <x:tableColumn id="9" name="expression_max"/>
    <x:tableColumn id="10" name="nonpositive_n"/>
    <x:tableColumn id="11" name="missing_n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eQCTable" displayName="ScoreQCTable" ref="A3:G51" headerRowCount="1" totalsRowCount="0" totalsRowShown="0">
  <x:tableColumns count="7">
    <x:tableColumn id="1" name="dataset"/>
    <x:tableColumn id="2" name="signature_id"/>
    <x:tableColumn id="3" name="sample_n"/>
    <x:tableColumn id="4" name="max_raw_absolute_error"/>
    <x:tableColumn id="5" name="mean_raw_absolute_error"/>
    <x:tableColumn id="6" name="max_oriented_absolute_erro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ressionScaleQCTable" displayName="ExpressionScaleQCTable" ref="A3:G9" headerRowCount="1" totalsRowCount="0" totalsRowShown="0">
  <x:tableColumns count="7">
    <x:tableColumn id="1" name="dataset"/>
    <x:tableColumn id="2" name="sample_n"/>
    <x:tableColumn id="3" name="gene_n"/>
    <x:tableColumn id="4" name="min_expression"/>
    <x:tableColumn id="5" name="max_expression"/>
    <x:tableColumn id="6" name="nonpositive_cell_n"/>
    <x:tableColumn id="7" name="missing_cell_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rmulaImpactTable" displayName="FormulaImpactTable" ref="A3:J21" headerRowCount="1" totalsRowCount="0" totalsRowShown="0">
  <x:tableColumns count="10">
    <x:tableColumn id="1" name="dataset"/>
    <x:tableColumn id="2" name="level"/>
    <x:tableColumn id="3" name="time_window"/>
    <x:tableColumn id="4" name="n"/>
    <x:tableColumn id="5" name="spearman_rho_current_vs_corrected"/>
    <x:tableColumn id="6" name="rank_changed_n"/>
    <x:tableColumn id="7" name="mean_current"/>
    <x:tableColumn id="8" name="mean_corrected"/>
    <x:tableColumn id="9" name="mean_absolute_difference"/>
    <x:tableColumn id="10" name="sign_flip_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11KeyResultsTable" displayName="v11KeyResultsTable" ref="A3:M5" headerRowCount="1" totalsRowCount="0" totalsRowShown="0">
  <x:tableColumns count="13">
    <x:tableColumn id="1" name="signature_id"/>
    <x:tableColumn id="2" name="time_window"/>
    <x:tableColumn id="3" name="metric"/>
    <x:tableColumn id="4" name="pooled_delta_z_v1_0_1"/>
    <x:tableColumn id="5" name="pooled_delta_z_v1_1"/>
    <x:tableColumn id="6" name="ci95_v1_0_1"/>
    <x:tableColumn id="7" name="ci95_v1_1"/>
    <x:tableColumn id="8" name="prediction_interval_v1_0_1"/>
    <x:tableColumn id="9" name="prediction_interval_v1_1"/>
    <x:tableColumn id="10" name="I2_percent_v1_0_1"/>
    <x:tableColumn id="11" name="I2_percent_v1_1"/>
    <x:tableColumn id="12" name="holm_adjusted_p_v1_0_1"/>
    <x:tableColumn id="13" name="holm_adjusted_p_v1_1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11ChangeLogTable" displayName="v11ChangeLogTable" ref="A3:F24" headerRowCount="1" totalsRowCount="0" totalsRowShown="0">
  <x:tableColumns count="6">
    <x:tableColumn id="1" name="domain"/>
    <x:tableColumn id="2" name="signature_id"/>
    <x:tableColumn id="3" name="record_n"/>
    <x:tableColumn id="4" name="changed_record_n"/>
    <x:tableColumn id="5" name="max_absolute_difference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iskRegisterTable" displayName="RiskRegisterTable" ref="A3:G9" headerRowCount="1" totalsRowCount="0" totalsRowShown="0">
  <x:tableColumns count="7">
    <x:tableColumn id="1" name="risk_id"/>
    <x:tableColumn id="2" name="severity"/>
    <x:tableColumn id="3" name="status"/>
    <x:tableColumn id="4" name="finding"/>
    <x:tableColumn id="5" name="evidence"/>
    <x:tableColumn id="6" name="impact"/>
    <x:tableColumn id="7" name="required_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istoricalMapTable" displayName="HistoricalMapTable" ref="A3:C7" headerRowCount="1" totalsRowCount="0" totalsRowShown="0">
  <x:tableColumns count="3">
    <x:tableColumn id="1" name="historical_symbol"/>
    <x:tableColumn id="2" name="current_hgnc_symbol"/>
    <x:tableColumn id="3" name="datasets_with_locked_mapp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leTraceTable" displayName="FileTraceTable" ref="A3:D10" headerRowCount="1" totalsRowCount="0" totalsRowShown="0">
  <x:tableColumns count="4">
    <x:tableColumn id="1" name="artifact"/>
    <x:tableColumn id="2" name="path"/>
    <x:tableColumn id="3" name="sha256"/>
    <x:tableColumn id="4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335f39a8640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9b85d6362b42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58a7f408d5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ca122cb1e4b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71f22b80f24a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73e7cfb4344e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9b18a656e74c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58b7cdd48d45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4b8ef695f842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a3fd473e8546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ad8f4da1f9649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4292301269147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2" t="str">
        <x:v>Signature implementation — Signature implementation registry and v1.1 correction record</x:v>
      </x:c>
      <x:c r="B1" s="2"/>
      <x:c r="C1" s="2"/>
      <x:c r="D1" s="2"/>
      <x:c r="E1" s="2"/>
      <x:c r="F1" s="2"/>
    </x:row>
    <x:row r="3">
      <x:c r="A3" s="5" t="str">
        <x:v>Audit scope</x:v>
      </x:c>
      <x:c r="B3" s="7" t="str">
        <x:v>Eight fixed signatures × six longitudinal cohorts</x:v>
      </x:c>
    </x:row>
    <x:row r="4">
      <x:c r="A4" s="5" t="str">
        <x:v>Formula decision</x:v>
      </x:c>
      <x:c r="B4" s="7" t="str">
        <x:v>REOPEN ANALYSIS triggered by the missing SIG001 5/6 coefficient</x:v>
      </x:c>
    </x:row>
    <x:row r="5">
      <x:c r="A5" s="5" t="str">
        <x:v>Remediation</x:v>
      </x:c>
      <x:c r="B5" s="7" t="str">
        <x:v>Corrected in a non-overwriting v1.1 copy and propagated through Stage 3 and Stage 4</x:v>
      </x:c>
    </x:row>
    <x:row r="6">
      <x:c r="A6" s="5" t="str">
        <x:v>Implementation rows</x:v>
      </x:c>
      <x:c r="B6" s="7" t="n">
        <x:f>COUNTA(Implementation_48!A4:A51)</x:f>
        <x:v>48</x:v>
      </x:c>
    </x:row>
    <x:row r="7">
      <x:c r="A7" s="5" t="str">
        <x:v>Score recalculation failures</x:v>
      </x:c>
      <x:c r="B7" s="7" t="n">
        <x:f>COUNTIF(Score_QC!G4:G51,"&lt;&gt;PASS")</x:f>
        <x:v>0</x:v>
      </x:c>
    </x:row>
    <x:row r="8">
      <x:c r="A8" s="5" t="str">
        <x:v>Missing gene-coverage rows</x:v>
      </x:c>
      <x:c r="B8" s="7" t="n">
        <x:f>COUNTIF(Gene_Coverage!L4:L471,"&lt;&gt;COMPLETE")</x:f>
        <x:v>0</x:v>
      </x:c>
    </x:row>
    <x:row r="9">
      <x:c r="A9" s="5" t="str">
        <x:v>Maximum reconstruction delta Z error</x:v>
      </x:c>
      <x:c r="B9" s="8" t="n">
        <x:f>MAX(Implementation_48!AB4:AB51)</x:f>
        <x:v>1.7152945730458672e-14</x:v>
      </x:c>
    </x:row>
    <x:row r="10">
      <x:c r="A10" s="5" t="str">
        <x:v>v1.1 disposition</x:v>
      </x:c>
      <x:c r="B10" s="7" t="str">
        <x:v>PASS_CORRECTION_PROPAGATED</x:v>
      </x:c>
    </x:row>
    <x:row r="12">
      <x:c r="A12" s="9" t="str">
        <x:v>Interpretation boundary</x:v>
      </x:c>
      <x:c r="B12" s="9"/>
      <x:c r="C12" s="9"/>
      <x:c r="D12" s="9"/>
      <x:c r="E12" s="9"/>
      <x:c r="F12" s="9"/>
    </x:row>
    <x:row r="13">
      <x:c r="A13" s="12" t="str">
        <x:v>Platform-transferred calculations evaluate the longitudinal behavior of fixed published formulas on normalized public transcriptomes. They do not reproduce assay-specific thresholds, calibration, clinical monitoring validity, or treatment guidance. v1.0.1 remains preserved as a superseded immutable version; only corrected v1.1 numerical outputs are eligible for the next manuscript revision.</x:v>
      </x:c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</x:cols>
  <x:sheetData>
    <x:row r="1" ht="27" customHeight="1">
      <x:c r="A1" s="13" t="str">
        <x:v>Published formulas and implementation differences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 ht="34" customHeight="1">
      <x:c r="A2" s="16" t="str">
        <x:v>One row per signature. RED indicates an implementation that required analysis reopening.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42" customHeight="1">
      <x:c r="A3" s="19" t="str">
        <x:v>signature_id</x:v>
      </x:c>
      <x:c r="B3" s="19" t="str">
        <x:v>signature_name</x:v>
      </x:c>
      <x:c r="C3" s="19" t="str">
        <x:v>published_formula</x:v>
      </x:c>
      <x:c r="D3" s="19" t="str">
        <x:v>implemented_formula_v1_0_1</x:v>
      </x:c>
      <x:c r="E3" s="19" t="str">
        <x:v>original_platform_and_scale</x:v>
      </x:c>
      <x:c r="F3" s="19" t="str">
        <x:v>required_gene_n</x:v>
      </x:c>
      <x:c r="G3" s="19" t="str">
        <x:v>direction_coefficient</x:v>
      </x:c>
      <x:c r="H3" s="19" t="str">
        <x:v>function_name</x:v>
      </x:c>
      <x:c r="I3" s="19" t="str">
        <x:v>function_line</x:v>
      </x:c>
      <x:c r="J3" s="19" t="str">
        <x:v>code_sha256</x:v>
      </x:c>
      <x:c r="K3" s="19" t="str">
        <x:v>doi</x:v>
      </x:c>
      <x:c r="L3" s="19" t="str">
        <x:v>source_url</x:v>
      </x:c>
      <x:c r="M3" s="19" t="str">
        <x:v>source_difference</x:v>
      </x:c>
      <x:c r="N3" s="19" t="str">
        <x:v>mathematical_impact</x:v>
      </x:c>
      <x:c r="O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GM(CEACAM1,ZDHHC19,NMRK1,GNA15,BATF,C3AR1) - (5/6) x GM(FAM214A,TGFBI,MTCH1,RPGRIP1,HLA-DPB1)</x:v>
      </x:c>
      <x:c r="D4" s="49" t="str">
        <x:v>GM(6 up) - GM(5 down)</x:v>
      </x:c>
      <x:c r="E4" s="49" t="str">
        <x:v>Multi-cohort microarrays; normalized relative expression, log2 transformed in external applications</x:v>
      </x:c>
      <x:c r="F4" s="54" t="n">
        <x:v>11</x:v>
      </x:c>
      <x:c r="G4" s="49" t="n">
        <x:v>1</x:v>
      </x:c>
      <x:c r="H4" s="49" t="str">
        <x:v>sepsis_metascore_dgm</x:v>
      </x:c>
      <x:c r="I4" s="54" t="n">
        <x:v>108</x:v>
      </x:c>
      <x:c r="J4" s="49" t="str">
        <x:v>3dbbda043abd280238e1f9b3f8f5234eabf8dee47d87c47a4eecea2e2d5536ba</x:v>
      </x:c>
      <x:c r="K4" s="49" t="str">
        <x:v>10.1126/scitranslmed.aaa5993</x:v>
      </x:c>
      <x:c r="L4" s="49" t="str">
        <x:v>https://pmc.ncbi.nlm.nih.gov/articles/PMC4734362/</x:v>
      </x:c>
      <x:c r="M4" s="49" t="str">
        <x:v>The published 5/6 coefficient on the down-regulated module is absent.</x:v>
      </x:c>
      <x:c r="N4" s="49" t="str">
        <x:v>Not a common positive scalar; can change score ranks, longitudinal changes, and gene-contribution architecture.</x:v>
      </x:c>
      <x:c r="O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log(I_PLAC8) - log(I_PLA2G7) + log(I_LAMP1) - log(I_CEACAM4)</x:v>
      </x:c>
      <x:c r="D5" s="43" t="str">
        <x:v>PLAC8 + LAMP1 - PLA2G7 - CEACAM4 on log/VST-like normalized expression</x:v>
      </x:c>
      <x:c r="E5" s="43" t="str">
        <x:v>Discovery microarray log-intensity equation; validation RT-qPCR/Ct implementation</x:v>
      </x:c>
      <x:c r="F5" s="55" t="n">
        <x:v>4</x:v>
      </x:c>
      <x:c r="G5" s="43" t="n">
        <x:v>1</x:v>
      </x:c>
      <x:c r="H5" s="43" t="str">
        <x:v>septicyte_lab_microarray</x:v>
      </x:c>
      <x:c r="I5" s="55" t="n">
        <x:v>122</x:v>
      </x:c>
      <x:c r="J5" s="43" t="str">
        <x:v>3dbbda043abd280238e1f9b3f8f5234eabf8dee47d87c47a4eecea2e2d5536ba</x:v>
      </x:c>
      <x:c r="K5" s="43" t="str">
        <x:v>10.1371/journal.pmed.1001916</x:v>
      </x:c>
      <x:c r="L5" s="43" t="str">
        <x:v>https://pmc.ncbi.nlm.nih.gov/articles/PMC4672921/</x:v>
      </x:c>
      <x:c r="M5" s="43" t="str">
        <x:v>No coefficient or gene difference; public normalized transcriptomic values are substituted for assay-specific log intensity.</x:v>
      </x:c>
      <x:c r="N5" s="43" t="str">
        <x:v>Exact linear contrast on log-scale microarrays; VST RNA-seq is a platform-transfer approximation and is not a clinical assay score.</x:v>
      </x:c>
      <x:c r="O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FAIM3 / PLAC8</x:v>
      </x:c>
      <x:c r="D6" s="52" t="str">
        <x:v>FAIM3 / PLAC8; multiplied by -1 once for sepsis-positive orientation</x:v>
      </x:c>
      <x:c r="E6" s="52" t="str">
        <x:v>Affymetrix U219 normalized expression; public cross-cohort validation calculated the ratio on log2-transformed data</x:v>
      </x:c>
      <x:c r="F6" s="56" t="n">
        <x:v>2</x:v>
      </x:c>
      <x:c r="G6" s="52" t="n">
        <x:v>-1</x:v>
      </x:c>
      <x:c r="H6" s="52" t="str">
        <x:v>faim3_plac8_ratio</x:v>
      </x:c>
      <x:c r="I6" s="56" t="n">
        <x:v>133</x:v>
      </x:c>
      <x:c r="J6" s="52" t="str">
        <x:v>3dbbda043abd280238e1f9b3f8f5234eabf8dee47d87c47a4eecea2e2d5536ba</x:v>
      </x:c>
      <x:c r="K6" s="52" t="str">
        <x:v>10.1164/rccm.201502-0355OC</x:v>
      </x:c>
      <x:c r="L6" s="52" t="str">
        <x:v>https://pure.amsterdamumc.nl/en/publications/a-molecular-biomarker-to-diagnose-community-acquired-pneumonia-on/</x:v>
      </x:c>
      <x:c r="M6" s="52" t="str">
        <x:v>No formula change; study-specific expression preprocessing and a harmonizing direction multiplier are explicit.</x:v>
      </x:c>
      <x:c r="N6" s="52" t="str">
        <x:v>Direction inversion changes sign only and is applied once; thresholds from the diagnostic assay are not transported.</x:v>
      </x:c>
      <x:c r="O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(NLRP1 - IDNK) / PLAC8</x:v>
      </x:c>
      <x:c r="D7" s="43" t="str">
        <x:v>(NLRP1 - IDNK) / PLAC8</x:v>
      </x:c>
      <x:c r="E7" s="43" t="str">
        <x:v>Affymetrix U219 discovery expression; qRT-PCR validation normalized to HPRT1</x:v>
      </x:c>
      <x:c r="F7" s="55" t="n">
        <x:v>3</x:v>
      </x:c>
      <x:c r="G7" s="43" t="n">
        <x:v>1</x:v>
      </x:c>
      <x:c r="H7" s="43" t="str">
        <x:v>snip_score</x:v>
      </x:c>
      <x:c r="I7" s="55" t="n">
        <x:v>149</x:v>
      </x:c>
      <x:c r="J7" s="43" t="str">
        <x:v>3dbbda043abd280238e1f9b3f8f5234eabf8dee47d87c47a4eecea2e2d5536ba</x:v>
      </x:c>
      <x:c r="K7" s="43" t="str">
        <x:v>10.1164/rccm.201707-1339LE</x:v>
      </x:c>
      <x:c r="L7" s="43" t="str">
        <x:v>https://academic.oup.com/ajrccm/article/197/8/1070/8498698</x:v>
      </x:c>
      <x:c r="M7" s="43" t="str">
        <x:v>No formula change; public transcriptome expression replaces assay-specific HPRT1-normalized qRT-PCR measurements.</x:v>
      </x:c>
      <x:c r="N7" s="43" t="str">
        <x:v>Cross-platform measurement audit only; the published clinical threshold is not transported.</x:v>
      </x:c>
      <x:c r="O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[GM(IFI27,JUP,LAX1) - GM(HK3,TNIP1,GPAA1,CTSB)] x positive gene-count ratio</x:v>
      </x:c>
      <x:c r="D8" s="52" t="str">
        <x:v>GM(viral 3) - GM(bacterial 4)</x:v>
      </x:c>
      <x:c r="E8" s="52" t="str">
        <x:v>Multi-cohort normalized microarray expression</x:v>
      </x:c>
      <x:c r="F8" s="56" t="n">
        <x:v>7</x:v>
      </x:c>
      <x:c r="G8" s="52" t="n">
        <x:v>1</x:v>
      </x:c>
      <x:c r="H8" s="52" t="str">
        <x:v>sweeney_bv_ordering_score</x:v>
      </x:c>
      <x:c r="I8" s="56" t="n">
        <x:v>171</x:v>
      </x:c>
      <x:c r="J8" s="52" t="str">
        <x:v>3dbbda043abd280238e1f9b3f8f5234eabf8dee47d87c47a4eecea2e2d5536ba</x:v>
      </x:c>
      <x:c r="K8" s="52" t="str">
        <x:v>10.1126/scitranslmed.aaf7165</x:v>
      </x:c>
      <x:c r="L8" s="52" t="str">
        <x:v>https://pmc.ncbi.nlm.nih.gov/articles/PMC5348917/</x:v>
      </x:c>
      <x:c r="M8" s="52" t="str">
        <x:v>The publication's common positive gene-count scalar is omitted.</x:v>
      </x:c>
      <x:c r="N8" s="52" t="str">
        <x:v>A common positive scalar preserves ranks, signs, delta Z, and standardized exact contributions; raw-score units differ.</x:v>
      </x:c>
      <x:c r="O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FAM89A - IFI44L</x:v>
      </x:c>
      <x:c r="D9" s="43" t="str">
        <x:v>FAM89A - IFI44L</x:v>
      </x:c>
      <x:c r="E9" s="43" t="str">
        <x:v>Normalized and log-transformed whole-blood expression</x:v>
      </x:c>
      <x:c r="F9" s="55" t="n">
        <x:v>2</x:v>
      </x:c>
      <x:c r="G9" s="43" t="n">
        <x:v>1</x:v>
      </x:c>
      <x:c r="H9" s="43" t="str">
        <x:v>herberg_two_gene_drs</x:v>
      </x:c>
      <x:c r="I9" s="55" t="n">
        <x:v>159</x:v>
      </x:c>
      <x:c r="J9" s="43" t="str">
        <x:v>3dbbda043abd280238e1f9b3f8f5234eabf8dee47d87c47a4eecea2e2d5536ba</x:v>
      </x:c>
      <x:c r="K9" s="43" t="str">
        <x:v>10.1001/jama.2016.11236</x:v>
      </x:c>
      <x:c r="L9" s="43" t="str">
        <x:v>https://jamanetwork.com/journals/jama/fullarticle/2545687</x:v>
      </x:c>
      <x:c r="M9" s="43" t="str">
        <x:v>No formula change.</x:v>
      </x:c>
      <x:c r="N9" s="43" t="str">
        <x:v>Linear contrast; dataset-specific scale is removed only after patient-level change by baseline SD.</x:v>
      </x:c>
      <x:c r="O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-0.4102*ADRB2 + 0.1825*CTSG - 0.1810*CX3CR1 + 0.8549*CXCR6 - 0.4270*IL4R - 0.5605*LTB - 0.6836*TMSB10</x:v>
      </x:c>
      <x:c r="D10" s="52" t="str">
        <x:v>Published seven coefficients applied without refitting or intercept</x:v>
      </x:c>
      <x:c r="E10" s="52" t="str">
        <x:v>Normalized microarray expression in the source study</x:v>
      </x:c>
      <x:c r="F10" s="56" t="n">
        <x:v>7</x:v>
      </x:c>
      <x:c r="G10" s="52" t="n">
        <x:v>1</x:v>
      </x:c>
      <x:c r="H10" s="52" t="str">
        <x:v>lin7_mortality_score</x:v>
      </x:c>
      <x:c r="I10" s="56" t="n">
        <x:v>230</x:v>
      </x:c>
      <x:c r="J10" s="52" t="str">
        <x:v>3dbbda043abd280238e1f9b3f8f5234eabf8dee47d87c47a4eecea2e2d5536ba</x:v>
      </x:c>
      <x:c r="K10" s="52" t="str">
        <x:v>10.3389/fimmu.2023.1000431</x:v>
      </x:c>
      <x:c r="L10" s="52" t="str">
        <x:v>https://pmc.ncbi.nlm.nih.gov/articles/PMC9968838/</x:v>
      </x:c>
      <x:c r="M10" s="52" t="str">
        <x:v>No gene or coefficient change; no source-study intercept was reported or transported.</x:v>
      </x:c>
      <x:c r="N10" s="52" t="str">
        <x:v>Fixed weighted sum; dataset-specific baseline SD standardizes longitudinal change.</x:v>
      </x:c>
      <x:c r="O10" s="53" t="str">
        <x:v>GREEN</x:v>
      </x:c>
    </x:row>
    <x:row r="11">
      <x:c r="A11" s="45" t="str">
        <x:v>SIG034</x:v>
      </x:c>
      <x:c r="B11" s="46" t="str">
        <x:v>Severe-or-Mild score</x:v>
      </x:c>
      <x:c r="C11" s="46" t="str">
        <x:v>[GM(M1) + GM(M2)] / [GM(M3) + GM(M4)]</x:v>
      </x:c>
      <x:c r="D11" s="46" t="str">
        <x:v>[GM(M1) + GM(M2)] / [GM(M3) + GM(M4)] using the published 42 genes</x:v>
      </x:c>
      <x:c r="E11" s="46" t="str">
        <x:v>Source study used normalized microarrays and DESeq2 VST for RNA-seq before module scoring</x:v>
      </x:c>
      <x:c r="F11" s="57" t="n">
        <x:v>42</x:v>
      </x:c>
      <x:c r="G11" s="46" t="n">
        <x:v>1</x:v>
      </x:c>
      <x:c r="H11" s="46" t="str">
        <x:v>severe_or_mild_score</x:v>
      </x:c>
      <x:c r="I11" s="57" t="n">
        <x:v>244</x:v>
      </x:c>
      <x:c r="J11" s="46" t="str">
        <x:v>3dbbda043abd280238e1f9b3f8f5234eabf8dee47d87c47a4eecea2e2d5536ba</x:v>
      </x:c>
      <x:c r="K11" s="46" t="str">
        <x:v>10.1016/j.immuni.2021.03.002</x:v>
      </x:c>
      <x:c r="L11" s="46" t="str">
        <x:v>https://pmc.ncbi.nlm.nih.gov/articles/PMC7988739/</x:v>
      </x:c>
      <x:c r="M11" s="46" t="str">
        <x:v>No formula or module-membership change.</x:v>
      </x:c>
      <x:c r="N11" s="46" t="str">
        <x:v>Exact published module ratio on each dataset's normalized expression scale; no clinical threshold transported.</x:v>
      </x:c>
      <x:c r="O11" s="47" t="str">
        <x:v>GREEN</x:v>
      </x:c>
    </x:row>
  </x:sheetData>
  <x:mergeCells>
    <x:mergeCell ref="A1:O1"/>
    <x:mergeCell ref="A2:O2"/>
  </x:mergeCells>
  <x:conditionalFormatting sqref="O4:O11">
    <x:cfRule type="containsText" dxfId="0" priority="1" operator="containsText" text="RED"/>
    <x:cfRule type="containsText" dxfId="1" priority="2" operator="containsText" text="FAIL"/>
    <x:cfRule type="containsText" dxfId="2" priority="3" operator="containsText" text="AMBER"/>
    <x:cfRule type="containsText" dxfId="3" priority="4" operator="containsText" text="EXPECTED"/>
    <x:cfRule type="containsText" dxfId="4" priority="5" operator="containsText" text="PASS"/>
    <x:cfRule type="containsText" dxfId="5" priority="6" operator="containsText" text="GREEN"/>
    <x:cfRule type="containsText" dxfId="6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5e8335f39a8640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32" hidden="0" customWidth="1"/>
  </x:cols>
  <x:sheetData>
    <x:row r="1" ht="27" customHeight="1">
      <x:c r="A1" s="13" t="str">
        <x:v>Executed cohort preprocessing and expression scales</x:v>
      </x:c>
      <x:c r="B1" s="13"/>
      <x:c r="C1" s="13"/>
      <x:c r="D1" s="13"/>
      <x:c r="E1" s="13"/>
      <x:c r="F1" s="13"/>
    </x:row>
    <x:row r="2" ht="34" customHeight="1">
      <x:c r="A2" s="16" t="str">
        <x:v>This sheet reports the route actually executed, not the superseded shorthand in the old preprocessing lock CSV.</x:v>
      </x:c>
      <x:c r="B2" s="16"/>
      <x:c r="C2" s="16"/>
      <x:c r="D2" s="16"/>
      <x:c r="E2" s="16"/>
      <x:c r="F2" s="16"/>
    </x:row>
    <x:row r="3" ht="42" customHeight="1">
      <x:c r="A3" s="19" t="str">
        <x:v>dataset</x:v>
      </x:c>
      <x:c r="B3" s="19" t="str">
        <x:v>platform</x:v>
      </x:c>
      <x:c r="C3" s="19" t="str">
        <x:v>raw_type</x:v>
      </x:c>
      <x:c r="D3" s="19" t="str">
        <x:v>actual_preprocessing</x:v>
      </x:c>
      <x:c r="E3" s="19" t="str">
        <x:v>probe_rule</x:v>
      </x:c>
      <x:c r="F3" s="19" t="str">
        <x:v>scale_note</x:v>
      </x:c>
    </x:row>
    <x:row r="4">
      <x:c r="A4" s="48" t="str">
        <x:v>GSE236713</x:v>
      </x:c>
      <x:c r="B4" s="49" t="str">
        <x:v>GPL17077 Agilent whole-genome 4x44K v2</x:v>
      </x:c>
      <x:c r="C4" s="49" t="str">
        <x:v>Agilent Feature Extraction gProcessedSignal</x:v>
      </x:c>
      <x:c r="D4" s="49" t="str">
        <x:v>Per-array non-control 75th-percentile scaling to the cohort median, then log2; locked probes only</x:v>
      </x:c>
      <x:c r="E4" s="49" t="str">
        <x:v>Replicate ProbeName values mean after log2; retained probes mean to canonical gene</x:v>
      </x:c>
      <x:c r="F4" s="50" t="str">
        <x:v>Raw-data rescue used because deposited global-median baseline transform created nonpositive values incompatible with GM/ratio scores</x:v>
      </x:c>
    </x:row>
    <x:row r="5">
      <x:c r="A5" s="42" t="str">
        <x:v>GSE57065</x:v>
      </x:c>
      <x:c r="B5" s="43" t="str">
        <x:v>GPL570 Affymetrix U133 Plus 2.0</x:v>
      </x:c>
      <x:c r="C5" s="43" t="str">
        <x:v>Official series matrix</x:v>
      </x:c>
      <x:c r="D5" s="43" t="str">
        <x:v>Source RMA, log2; retained without cross-cohort renormalization</x:v>
      </x:c>
      <x:c r="E5" s="43" t="str">
        <x:v>Arithmetic mean of all retained unambiguous probes per canonical gene</x:v>
      </x:c>
      <x:c r="F5" s="44" t="str">
        <x:v>One fixed rule used at all time points</x:v>
      </x:c>
    </x:row>
    <x:row r="6">
      <x:c r="A6" s="51" t="str">
        <x:v>GSE95233</x:v>
      </x:c>
      <x:c r="B6" s="52" t="str">
        <x:v>GPL570 Affymetrix U133 Plus 2.0</x:v>
      </x:c>
      <x:c r="C6" s="52" t="str">
        <x:v>Official series matrix</x:v>
      </x:c>
      <x:c r="D6" s="52" t="str">
        <x:v>Source RMA, log2; retained without cross-cohort renormalization</x:v>
      </x:c>
      <x:c r="E6" s="52" t="str">
        <x:v>Arithmetic mean of all retained unambiguous probes per canonical gene</x:v>
      </x:c>
      <x:c r="F6" s="53" t="str">
        <x:v>One fixed rule used at all time points</x:v>
      </x:c>
    </x:row>
    <x:row r="7">
      <x:c r="A7" s="42" t="str">
        <x:v>GSE8121</x:v>
      </x:c>
      <x:c r="B7" s="43" t="str">
        <x:v>GPL570 Affymetrix U133 Plus 2.0</x:v>
      </x:c>
      <x:c r="C7" s="43" t="str">
        <x:v>Official series matrix</x:v>
      </x:c>
      <x:c r="D7" s="43" t="str">
        <x:v>Source RMA-derived values normalized to the control median</x:v>
      </x:c>
      <x:c r="E7" s="43" t="str">
        <x:v>Arithmetic mean of all retained unambiguous probes per canonical gene</x:v>
      </x:c>
      <x:c r="F7" s="44" t="str">
        <x:v>Source scale is limited; one fixed rule used across Day 1 and Day 3</x:v>
      </x:c>
    </x:row>
    <x:row r="8">
      <x:c r="A8" s="51" t="str">
        <x:v>GSE54514</x:v>
      </x:c>
      <x:c r="B8" s="52" t="str">
        <x:v>GPL6947 Illumina HumanHT-12 v3</x:v>
      </x:c>
      <x:c r="C8" s="52" t="str">
        <x:v>Official series matrix</x:v>
      </x:c>
      <x:c r="D8" s="52" t="str">
        <x:v>Source GenomeStudio processing, log2, quantile-normalized values retained</x:v>
      </x:c>
      <x:c r="E8" s="52" t="str">
        <x:v>Arithmetic mean of all retained unambiguous probes per canonical gene</x:v>
      </x:c>
      <x:c r="F8" s="53" t="str">
        <x:v>Official sample identity route passed 163/163 checks</x:v>
      </x:c>
    </x:row>
    <x:row r="9">
      <x:c r="A9" s="45" t="str">
        <x:v>GSE110487</x:v>
      </x:c>
      <x:c r="B9" s="46" t="str">
        <x:v>RNA-seq, GENCODE v25</x:v>
      </x:c>
      <x:c r="C9" s="46" t="str">
        <x:v>Raw integer counts</x:v>
      </x:c>
      <x:c r="D9" s="46" t="str">
        <x:v>Duplicate Ensembl IDs for the same canonical gene summed, then DESeq2 VST with blind=TRUE on the full cohort</x:v>
      </x:c>
      <x:c r="E9" s="46" t="str">
        <x:v>Canonical-gene count sum before VST; no post-VST averaging</x:v>
      </x:c>
      <x:c r="F9" s="47" t="str">
        <x:v>VST is a platform-transfer scale, not an assay-equivalent clinical measurement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e9b85d6362b42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32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32" hidden="0" customWidth="1"/>
    <x:col min="30" max="30" width="32" hidden="0" customWidth="1"/>
    <x:col min="31" max="31" width="18" hidden="0" customWidth="1"/>
  </x:cols>
  <x:sheetData>
    <x:row r="1" ht="27" customHeight="1">
      <x:c r="A1" s="13" t="str">
        <x:v>Forty-eight signature-by-cohort implementation checks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</x:row>
    <x:row r="2" ht="34" customHeight="1">
      <x:c r="A2" s="16" t="str">
        <x:v>Coverage, feature aggregation, score recalculation, manual checks, exact reconstruction, and implementation risk.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</x:row>
    <x:row r="3" ht="42" customHeight="1">
      <x:c r="A3" s="19" t="str">
        <x:v>signature_id</x:v>
      </x:c>
      <x:c r="B3" s="19" t="str">
        <x:v>signature_name</x:v>
      </x:c>
      <x:c r="C3" s="19" t="str">
        <x:v>dataset</x:v>
      </x:c>
      <x:c r="D3" s="19" t="str">
        <x:v>platform</x:v>
      </x:c>
      <x:c r="E3" s="19" t="str">
        <x:v>raw_data_type</x:v>
      </x:c>
      <x:c r="F3" s="19" t="str">
        <x:v>actual_preprocessing_scale</x:v>
      </x:c>
      <x:c r="G3" s="19" t="str">
        <x:v>probe_or_feature_aggregation</x:v>
      </x:c>
      <x:c r="H3" s="19" t="str">
        <x:v>scale_boundary</x:v>
      </x:c>
      <x:c r="I3" s="19" t="str">
        <x:v>required_gene_n</x:v>
      </x:c>
      <x:c r="J3" s="19" t="str">
        <x:v>present_gene_n</x:v>
      </x:c>
      <x:c r="K3" s="19" t="str">
        <x:v>coverage_percent</x:v>
      </x:c>
      <x:c r="L3" s="19" t="str">
        <x:v>retained_feature_n</x:v>
      </x:c>
      <x:c r="M3" s="19" t="str">
        <x:v>multi_feature_gene_n</x:v>
      </x:c>
      <x:c r="N3" s="19" t="str">
        <x:v>max_features_per_gene</x:v>
      </x:c>
      <x:c r="O3" s="19" t="str">
        <x:v>sample_n</x:v>
      </x:c>
      <x:c r="P3" s="19" t="str">
        <x:v>nonpositive_required_values_n</x:v>
      </x:c>
      <x:c r="Q3" s="19" t="str">
        <x:v>missing_required_values_n</x:v>
      </x:c>
      <x:c r="R3" s="19" t="str">
        <x:v>function_name</x:v>
      </x:c>
      <x:c r="S3" s="19" t="str">
        <x:v>function_line</x:v>
      </x:c>
      <x:c r="T3" s="19" t="str">
        <x:v>direction_coefficient</x:v>
      </x:c>
      <x:c r="U3" s="19" t="str">
        <x:v>max_score_recalculation_error</x:v>
      </x:c>
      <x:c r="V3" s="19" t="str">
        <x:v>max_oriented_score_error</x:v>
      </x:c>
      <x:c r="W3" s="19" t="str">
        <x:v>manual_check_n</x:v>
      </x:c>
      <x:c r="X3" s="19" t="str">
        <x:v>manual_check_fail_n</x:v>
      </x:c>
      <x:c r="Y3" s="19" t="str">
        <x:v>reconstruction_record_n</x:v>
      </x:c>
      <x:c r="Z3" s="19" t="str">
        <x:v>reconstruction_fail_n</x:v>
      </x:c>
      <x:c r="AA3" s="19" t="str">
        <x:v>max_reconstruction_raw_error</x:v>
      </x:c>
      <x:c r="AB3" s="19" t="str">
        <x:v>max_reconstruction_delta_z_error</x:v>
      </x:c>
      <x:c r="AC3" s="19" t="str">
        <x:v>source_difference</x:v>
      </x:c>
      <x:c r="AD3" s="19" t="str">
        <x:v>mathematical_impact</x:v>
      </x:c>
      <x:c r="AE3" s="19" t="str">
        <x:v>risk</x:v>
      </x:c>
    </x:row>
    <x:row r="4">
      <x:c r="A4" s="48" t="str">
        <x:v>SIG001</x:v>
      </x:c>
      <x:c r="B4" s="49" t="str">
        <x:v>Sepsis MetaScore</x:v>
      </x:c>
      <x:c r="C4" s="49" t="str">
        <x:v>GSE236713</x:v>
      </x:c>
      <x:c r="D4" s="49" t="str">
        <x:v>GPL17077 Agilent whole-genome 4x44K v2</x:v>
      </x:c>
      <x:c r="E4" s="49" t="str">
        <x:v>Agilent Feature Extraction gProcessedSignal</x:v>
      </x:c>
      <x:c r="F4" s="49" t="str">
        <x:v>Per-array non-control 75th-percentile scaling to the cohort median, then log2; locked probes only</x:v>
      </x:c>
      <x:c r="G4" s="49" t="str">
        <x:v>Replicate ProbeName values mean after log2; retained probes mean to canonical gene</x:v>
      </x:c>
      <x:c r="H4" s="49" t="str">
        <x:v>Raw-data rescue used because deposited global-median baseline transform created nonpositive values incompatible with GM/ratio scores</x:v>
      </x:c>
      <x:c r="I4" s="54" t="n">
        <x:v>11</x:v>
      </x:c>
      <x:c r="J4" s="54" t="n">
        <x:v>11</x:v>
      </x:c>
      <x:c r="K4" s="58" t="n">
        <x:v>100</x:v>
      </x:c>
      <x:c r="L4" s="54" t="n">
        <x:v>18</x:v>
      </x:c>
      <x:c r="M4" s="54" t="n">
        <x:v>4</x:v>
      </x:c>
      <x:c r="N4" s="49" t="n">
        <x:v>5</x:v>
      </x:c>
      <x:c r="O4" s="54" t="n">
        <x:v>447</x:v>
      </x:c>
      <x:c r="P4" s="54" t="n">
        <x:v>0</x:v>
      </x:c>
      <x:c r="Q4" s="54" t="n">
        <x:v>0</x:v>
      </x:c>
      <x:c r="R4" s="49" t="str">
        <x:v>sepsis_metascore_dgm</x:v>
      </x:c>
      <x:c r="S4" s="54" t="n">
        <x:v>108</x:v>
      </x:c>
      <x:c r="T4" s="49" t="n">
        <x:v>1</x:v>
      </x:c>
      <x:c r="U4" s="58" t="n">
        <x:v>0</x:v>
      </x:c>
      <x:c r="V4" s="58" t="n">
        <x:v>0</x:v>
      </x:c>
      <x:c r="W4" s="54" t="n">
        <x:v>5</x:v>
      </x:c>
      <x:c r="X4" s="54" t="n">
        <x:v>0</x:v>
      </x:c>
      <x:c r="Y4" s="54" t="n">
        <x:v>161</x:v>
      </x:c>
      <x:c r="Z4" s="54" t="n">
        <x:v>0</x:v>
      </x:c>
      <x:c r="AA4" s="58" t="n">
        <x:v>1.4321877017664523e-14</x:v>
      </x:c>
      <x:c r="AB4" s="58" t="n">
        <x:v>1.0103029524088925e-14</x:v>
      </x:c>
      <x:c r="AC4" s="49" t="str">
        <x:v>The published 5/6 coefficient on the down-regulated module is absent.</x:v>
      </x:c>
      <x:c r="AD4" s="49" t="str">
        <x:v>Not a common positive scalar; can change score ranks, longitudinal changes, and gene-contribution architecture.</x:v>
      </x:c>
      <x:c r="AE4" s="50" t="str">
        <x:v>RED_REOPEN_ANALYSIS</x:v>
      </x:c>
    </x:row>
    <x:row r="5">
      <x:c r="A5" s="42" t="str">
        <x:v>SIG002</x:v>
      </x:c>
      <x:c r="B5" s="43" t="str">
        <x:v>SeptiCyte LAB</x:v>
      </x:c>
      <x:c r="C5" s="43" t="str">
        <x:v>GSE236713</x:v>
      </x:c>
      <x:c r="D5" s="43" t="str">
        <x:v>GPL17077 Agilent whole-genome 4x44K v2</x:v>
      </x:c>
      <x:c r="E5" s="43" t="str">
        <x:v>Agilent Feature Extraction gProcessedSignal</x:v>
      </x:c>
      <x:c r="F5" s="43" t="str">
        <x:v>Per-array non-control 75th-percentile scaling to the cohort median, then log2; locked probes only</x:v>
      </x:c>
      <x:c r="G5" s="43" t="str">
        <x:v>Replicate ProbeName values mean after log2; retained probes mean to canonical gene</x:v>
      </x:c>
      <x:c r="H5" s="43" t="str">
        <x:v>Raw-data rescue used because deposited global-median baseline transform created nonpositive values incompatible with GM/ratio scores</x:v>
      </x:c>
      <x:c r="I5" s="55" t="n">
        <x:v>4</x:v>
      </x:c>
      <x:c r="J5" s="55" t="n">
        <x:v>4</x:v>
      </x:c>
      <x:c r="K5" s="59" t="n">
        <x:v>100</x:v>
      </x:c>
      <x:c r="L5" s="55" t="n">
        <x:v>5</x:v>
      </x:c>
      <x:c r="M5" s="55" t="n">
        <x:v>1</x:v>
      </x:c>
      <x:c r="N5" s="43" t="n">
        <x:v>2</x:v>
      </x:c>
      <x:c r="O5" s="55" t="n">
        <x:v>447</x:v>
      </x:c>
      <x:c r="P5" s="55" t="n">
        <x:v>0</x:v>
      </x:c>
      <x:c r="Q5" s="55" t="n">
        <x:v>0</x:v>
      </x:c>
      <x:c r="R5" s="43" t="str">
        <x:v>septicyte_lab_microarray</x:v>
      </x:c>
      <x:c r="S5" s="55" t="n">
        <x:v>122</x:v>
      </x:c>
      <x:c r="T5" s="43" t="n">
        <x:v>1</x:v>
      </x:c>
      <x:c r="U5" s="59" t="n">
        <x:v>0</x:v>
      </x:c>
      <x:c r="V5" s="59" t="n">
        <x:v>0</x:v>
      </x:c>
      <x:c r="W5" s="55" t="n">
        <x:v>5</x:v>
      </x:c>
      <x:c r="X5" s="55" t="n">
        <x:v>0</x:v>
      </x:c>
      <x:c r="Y5" s="55" t="n">
        <x:v>161</x:v>
      </x:c>
      <x:c r="Z5" s="55" t="n">
        <x:v>0</x:v>
      </x:c>
      <x:c r="AA5" s="59" t="n">
        <x:v>6.217248937900877e-15</x:v>
      </x:c>
      <x:c r="AB5" s="59" t="n">
        <x:v>3.108624468950439e-15</x:v>
      </x:c>
      <x:c r="AC5" s="43" t="str">
        <x:v>No coefficient or gene difference; public normalized transcriptomic values are substituted for assay-specific log intensity.</x:v>
      </x:c>
      <x:c r="AD5" s="43" t="str">
        <x:v>Exact linear contrast on log-scale microarrays; VST RNA-seq is a platform-transfer approximation and is not a clinical assay score.</x:v>
      </x:c>
      <x:c r="AE5" s="44" t="str">
        <x:v>AMBER_DISCLOSE_PLATFORM_TRANSFER</x:v>
      </x:c>
    </x:row>
    <x:row r="6">
      <x:c r="A6" s="51" t="str">
        <x:v>SIG003</x:v>
      </x:c>
      <x:c r="B6" s="52" t="str">
        <x:v>FAIM3:PLAC8 ratio</x:v>
      </x:c>
      <x:c r="C6" s="52" t="str">
        <x:v>GSE236713</x:v>
      </x:c>
      <x:c r="D6" s="52" t="str">
        <x:v>GPL17077 Agilent whole-genome 4x44K v2</x:v>
      </x:c>
      <x:c r="E6" s="52" t="str">
        <x:v>Agilent Feature Extraction gProcessedSignal</x:v>
      </x:c>
      <x:c r="F6" s="52" t="str">
        <x:v>Per-array non-control 75th-percentile scaling to the cohort median, then log2; locked probes only</x:v>
      </x:c>
      <x:c r="G6" s="52" t="str">
        <x:v>Replicate ProbeName values mean after log2; retained probes mean to canonical gene</x:v>
      </x:c>
      <x:c r="H6" s="52" t="str">
        <x:v>Raw-data rescue used because deposited global-median baseline transform created nonpositive values incompatible with GM/ratio scores</x:v>
      </x:c>
      <x:c r="I6" s="56" t="n">
        <x:v>2</x:v>
      </x:c>
      <x:c r="J6" s="56" t="n">
        <x:v>2</x:v>
      </x:c>
      <x:c r="K6" s="60" t="n">
        <x:v>100</x:v>
      </x:c>
      <x:c r="L6" s="56" t="n">
        <x:v>3</x:v>
      </x:c>
      <x:c r="M6" s="56" t="n">
        <x:v>1</x:v>
      </x:c>
      <x:c r="N6" s="52" t="n">
        <x:v>2</x:v>
      </x:c>
      <x:c r="O6" s="56" t="n">
        <x:v>447</x:v>
      </x:c>
      <x:c r="P6" s="56" t="n">
        <x:v>0</x:v>
      </x:c>
      <x:c r="Q6" s="56" t="n">
        <x:v>0</x:v>
      </x:c>
      <x:c r="R6" s="52" t="str">
        <x:v>faim3_plac8_ratio</x:v>
      </x:c>
      <x:c r="S6" s="56" t="n">
        <x:v>133</x:v>
      </x:c>
      <x:c r="T6" s="52" t="n">
        <x:v>-1</x:v>
      </x:c>
      <x:c r="U6" s="60" t="n">
        <x:v>0</x:v>
      </x:c>
      <x:c r="V6" s="60" t="n">
        <x:v>0</x:v>
      </x:c>
      <x:c r="W6" s="56" t="n">
        <x:v>5</x:v>
      </x:c>
      <x:c r="X6" s="56" t="n">
        <x:v>0</x:v>
      </x:c>
      <x:c r="Y6" s="56" t="n">
        <x:v>161</x:v>
      </x:c>
      <x:c r="Z6" s="56" t="n">
        <x:v>0</x:v>
      </x:c>
      <x:c r="AA6" s="60" t="n">
        <x:v>0</x:v>
      </x:c>
      <x:c r="AB6" s="60" t="n">
        <x:v>0</x:v>
      </x:c>
      <x:c r="AC6" s="52" t="str">
        <x:v>No formula change; study-specific expression preprocessing and a harmonizing direction multiplier are explicit.</x:v>
      </x:c>
      <x:c r="AD6" s="52" t="str">
        <x:v>Direction inversion changes sign only and is applied once; thresholds from the diagnostic assay are not transported.</x:v>
      </x:c>
      <x:c r="AE6" s="53" t="str">
        <x:v>AMBER_DISCLOSE_PLATFORM_TRANSFER</x:v>
      </x:c>
    </x:row>
    <x:row r="7">
      <x:c r="A7" s="42" t="str">
        <x:v>SIG004</x:v>
      </x:c>
      <x:c r="B7" s="43" t="str">
        <x:v>sNIP</x:v>
      </x:c>
      <x:c r="C7" s="43" t="str">
        <x:v>GSE236713</x:v>
      </x:c>
      <x:c r="D7" s="43" t="str">
        <x:v>GPL17077 Agilent whole-genome 4x44K v2</x:v>
      </x:c>
      <x:c r="E7" s="43" t="str">
        <x:v>Agilent Feature Extraction gProcessedSignal</x:v>
      </x:c>
      <x:c r="F7" s="43" t="str">
        <x:v>Per-array non-control 75th-percentile scaling to the cohort median, then log2; locked probes only</x:v>
      </x:c>
      <x:c r="G7" s="43" t="str">
        <x:v>Replicate ProbeName values mean after log2; retained probes mean to canonical gene</x:v>
      </x:c>
      <x:c r="H7" s="43" t="str">
        <x:v>Raw-data rescue used because deposited global-median baseline transform created nonpositive values incompatible with GM/ratio scores</x:v>
      </x:c>
      <x:c r="I7" s="55" t="n">
        <x:v>3</x:v>
      </x:c>
      <x:c r="J7" s="55" t="n">
        <x:v>3</x:v>
      </x:c>
      <x:c r="K7" s="59" t="n">
        <x:v>100</x:v>
      </x:c>
      <x:c r="L7" s="55" t="n">
        <x:v>5</x:v>
      </x:c>
      <x:c r="M7" s="55" t="n">
        <x:v>2</x:v>
      </x:c>
      <x:c r="N7" s="43" t="n">
        <x:v>2</x:v>
      </x:c>
      <x:c r="O7" s="55" t="n">
        <x:v>447</x:v>
      </x:c>
      <x:c r="P7" s="55" t="n">
        <x:v>0</x:v>
      </x:c>
      <x:c r="Q7" s="55" t="n">
        <x:v>0</x:v>
      </x:c>
      <x:c r="R7" s="43" t="str">
        <x:v>snip_score</x:v>
      </x:c>
      <x:c r="S7" s="55" t="n">
        <x:v>149</x:v>
      </x:c>
      <x:c r="T7" s="43" t="n">
        <x:v>1</x:v>
      </x:c>
      <x:c r="U7" s="59" t="n">
        <x:v>0</x:v>
      </x:c>
      <x:c r="V7" s="59" t="n">
        <x:v>0</x:v>
      </x:c>
      <x:c r="W7" s="55" t="n">
        <x:v>5</x:v>
      </x:c>
      <x:c r="X7" s="55" t="n">
        <x:v>0</x:v>
      </x:c>
      <x:c r="Y7" s="55" t="n">
        <x:v>161</x:v>
      </x:c>
      <x:c r="Z7" s="55" t="n">
        <x:v>0</x:v>
      </x:c>
      <x:c r="AA7" s="59" t="n">
        <x:v>5.551115123125783e-17</x:v>
      </x:c>
      <x:c r="AB7" s="59" t="n">
        <x:v>4.440892098500626e-16</x:v>
      </x:c>
      <x:c r="AC7" s="43" t="str">
        <x:v>No formula change; public transcriptome expression replaces assay-specific HPRT1-normalized qRT-PCR measurements.</x:v>
      </x:c>
      <x:c r="AD7" s="43" t="str">
        <x:v>Cross-platform measurement audit only; the published clinical threshold is not transported.</x:v>
      </x:c>
      <x:c r="AE7" s="44" t="str">
        <x:v>AMBER_DISCLOSE_PLATFORM_TRANSFER</x:v>
      </x:c>
    </x:row>
    <x:row r="8">
      <x:c r="A8" s="51" t="str">
        <x:v>SIG022</x:v>
      </x:c>
      <x:c r="B8" s="52" t="str">
        <x:v>Bacterial/Viral MetaScore</x:v>
      </x:c>
      <x:c r="C8" s="52" t="str">
        <x:v>GSE236713</x:v>
      </x:c>
      <x:c r="D8" s="52" t="str">
        <x:v>GPL17077 Agilent whole-genome 4x44K v2</x:v>
      </x:c>
      <x:c r="E8" s="52" t="str">
        <x:v>Agilent Feature Extraction gProcessedSignal</x:v>
      </x:c>
      <x:c r="F8" s="52" t="str">
        <x:v>Per-array non-control 75th-percentile scaling to the cohort median, then log2; locked probes only</x:v>
      </x:c>
      <x:c r="G8" s="52" t="str">
        <x:v>Replicate ProbeName values mean after log2; retained probes mean to canonical gene</x:v>
      </x:c>
      <x:c r="H8" s="52" t="str">
        <x:v>Raw-data rescue used because deposited global-median baseline transform created nonpositive values incompatible with GM/ratio scores</x:v>
      </x:c>
      <x:c r="I8" s="56" t="n">
        <x:v>7</x:v>
      </x:c>
      <x:c r="J8" s="56" t="n">
        <x:v>7</x:v>
      </x:c>
      <x:c r="K8" s="60" t="n">
        <x:v>100</x:v>
      </x:c>
      <x:c r="L8" s="56" t="n">
        <x:v>8</x:v>
      </x:c>
      <x:c r="M8" s="56" t="n">
        <x:v>1</x:v>
      </x:c>
      <x:c r="N8" s="52" t="n">
        <x:v>2</x:v>
      </x:c>
      <x:c r="O8" s="56" t="n">
        <x:v>447</x:v>
      </x:c>
      <x:c r="P8" s="56" t="n">
        <x:v>0</x:v>
      </x:c>
      <x:c r="Q8" s="56" t="n">
        <x:v>0</x:v>
      </x:c>
      <x:c r="R8" s="52" t="str">
        <x:v>sweeney_bv_ordering_score</x:v>
      </x:c>
      <x:c r="S8" s="56" t="n">
        <x:v>171</x:v>
      </x:c>
      <x:c r="T8" s="52" t="n">
        <x:v>1</x:v>
      </x:c>
      <x:c r="U8" s="60" t="n">
        <x:v>0</x:v>
      </x:c>
      <x:c r="V8" s="60" t="n">
        <x:v>0</x:v>
      </x:c>
      <x:c r="W8" s="56" t="n">
        <x:v>5</x:v>
      </x:c>
      <x:c r="X8" s="56" t="n">
        <x:v>0</x:v>
      </x:c>
      <x:c r="Y8" s="56" t="n">
        <x:v>161</x:v>
      </x:c>
      <x:c r="Z8" s="56" t="n">
        <x:v>0</x:v>
      </x:c>
      <x:c r="AA8" s="60" t="n">
        <x:v>1.0769163338864018e-14</x:v>
      </x:c>
      <x:c r="AB8" s="60" t="n">
        <x:v>6.994405055138486e-15</x:v>
      </x:c>
      <x:c r="AC8" s="52" t="str">
        <x:v>The publication's common positive gene-count scalar is omitted.</x:v>
      </x:c>
      <x:c r="AD8" s="52" t="str">
        <x:v>A common positive scalar preserves ranks, signs, delta Z, and standardized exact contributions; raw-score units differ.</x:v>
      </x:c>
      <x:c r="AE8" s="53" t="str">
        <x:v>AMBER_DISCLOSE_RAW_UNIT_DIFFERENCE</x:v>
      </x:c>
    </x:row>
    <x:row r="9">
      <x:c r="A9" s="42" t="str">
        <x:v>SIG023</x:v>
      </x:c>
      <x:c r="B9" s="43" t="str">
        <x:v>Herberg Disease Risk Score</x:v>
      </x:c>
      <x:c r="C9" s="43" t="str">
        <x:v>GSE236713</x:v>
      </x:c>
      <x:c r="D9" s="43" t="str">
        <x:v>GPL17077 Agilent whole-genome 4x44K v2</x:v>
      </x:c>
      <x:c r="E9" s="43" t="str">
        <x:v>Agilent Feature Extraction gProcessedSignal</x:v>
      </x:c>
      <x:c r="F9" s="43" t="str">
        <x:v>Per-array non-control 75th-percentile scaling to the cohort median, then log2; locked probes only</x:v>
      </x:c>
      <x:c r="G9" s="43" t="str">
        <x:v>Replicate ProbeName values mean after log2; retained probes mean to canonical gene</x:v>
      </x:c>
      <x:c r="H9" s="43" t="str">
        <x:v>Raw-data rescue used because deposited global-median baseline transform created nonpositive values incompatible with GM/ratio scores</x:v>
      </x:c>
      <x:c r="I9" s="55" t="n">
        <x:v>2</x:v>
      </x:c>
      <x:c r="J9" s="55" t="n">
        <x:v>2</x:v>
      </x:c>
      <x:c r="K9" s="59" t="n">
        <x:v>100</x:v>
      </x:c>
      <x:c r="L9" s="55" t="n">
        <x:v>2</x:v>
      </x:c>
      <x:c r="M9" s="55" t="n">
        <x:v>0</x:v>
      </x:c>
      <x:c r="N9" s="43" t="n">
        <x:v>1</x:v>
      </x:c>
      <x:c r="O9" s="55" t="n">
        <x:v>447</x:v>
      </x:c>
      <x:c r="P9" s="55" t="n">
        <x:v>0</x:v>
      </x:c>
      <x:c r="Q9" s="55" t="n">
        <x:v>0</x:v>
      </x:c>
      <x:c r="R9" s="43" t="str">
        <x:v>herberg_two_gene_drs</x:v>
      </x:c>
      <x:c r="S9" s="55" t="n">
        <x:v>159</x:v>
      </x:c>
      <x:c r="T9" s="43" t="n">
        <x:v>1</x:v>
      </x:c>
      <x:c r="U9" s="59" t="n">
        <x:v>0</x:v>
      </x:c>
      <x:c r="V9" s="59" t="n">
        <x:v>0</x:v>
      </x:c>
      <x:c r="W9" s="55" t="n">
        <x:v>5</x:v>
      </x:c>
      <x:c r="X9" s="55" t="n">
        <x:v>0</x:v>
      </x:c>
      <x:c r="Y9" s="55" t="n">
        <x:v>161</x:v>
      </x:c>
      <x:c r="Z9" s="55" t="n">
        <x:v>0</x:v>
      </x:c>
      <x:c r="AA9" s="59" t="n">
        <x:v>4.440892098500626e-16</x:v>
      </x:c>
      <x:c r="AB9" s="59" t="n">
        <x:v>1.1102230246251563e-16</x:v>
      </x:c>
      <x:c r="AC9" s="43" t="str">
        <x:v>No formula change.</x:v>
      </x:c>
      <x:c r="AD9" s="43" t="str">
        <x:v>Linear contrast; dataset-specific scale is removed only after patient-level change by baseline SD.</x:v>
      </x:c>
      <x:c r="AE9" s="44" t="str">
        <x:v>GREEN</x:v>
      </x:c>
    </x:row>
    <x:row r="10">
      <x:c r="A10" s="51" t="str">
        <x:v>SIG033</x:v>
      </x:c>
      <x:c r="B10" s="52" t="str">
        <x:v>Lin seven-gene mortality score</x:v>
      </x:c>
      <x:c r="C10" s="52" t="str">
        <x:v>GSE236713</x:v>
      </x:c>
      <x:c r="D10" s="52" t="str">
        <x:v>GPL17077 Agilent whole-genome 4x44K v2</x:v>
      </x:c>
      <x:c r="E10" s="52" t="str">
        <x:v>Agilent Feature Extraction gProcessedSignal</x:v>
      </x:c>
      <x:c r="F10" s="52" t="str">
        <x:v>Per-array non-control 75th-percentile scaling to the cohort median, then log2; locked probes only</x:v>
      </x:c>
      <x:c r="G10" s="52" t="str">
        <x:v>Replicate ProbeName values mean after log2; retained probes mean to canonical gene</x:v>
      </x:c>
      <x:c r="H10" s="52" t="str">
        <x:v>Raw-data rescue used because deposited global-median baseline transform created nonpositive values incompatible with GM/ratio scores</x:v>
      </x:c>
      <x:c r="I10" s="56" t="n">
        <x:v>7</x:v>
      </x:c>
      <x:c r="J10" s="56" t="n">
        <x:v>7</x:v>
      </x:c>
      <x:c r="K10" s="60" t="n">
        <x:v>100</x:v>
      </x:c>
      <x:c r="L10" s="56" t="n">
        <x:v>9</x:v>
      </x:c>
      <x:c r="M10" s="56" t="n">
        <x:v>1</x:v>
      </x:c>
      <x:c r="N10" s="52" t="n">
        <x:v>3</x:v>
      </x:c>
      <x:c r="O10" s="56" t="n">
        <x:v>447</x:v>
      </x:c>
      <x:c r="P10" s="56" t="n">
        <x:v>0</x:v>
      </x:c>
      <x:c r="Q10" s="56" t="n">
        <x:v>0</x:v>
      </x:c>
      <x:c r="R10" s="52" t="str">
        <x:v>lin7_mortality_score</x:v>
      </x:c>
      <x:c r="S10" s="56" t="n">
        <x:v>230</x:v>
      </x:c>
      <x:c r="T10" s="52" t="n">
        <x:v>1</x:v>
      </x:c>
      <x:c r="U10" s="60" t="n">
        <x:v>0</x:v>
      </x:c>
      <x:c r="V10" s="60" t="n">
        <x:v>0</x:v>
      </x:c>
      <x:c r="W10" s="56" t="n">
        <x:v>5</x:v>
      </x:c>
      <x:c r="X10" s="56" t="n">
        <x:v>0</x:v>
      </x:c>
      <x:c r="Y10" s="56" t="n">
        <x:v>161</x:v>
      </x:c>
      <x:c r="Z10" s="56" t="n">
        <x:v>0</x:v>
      </x:c>
      <x:c r="AA10" s="60" t="n">
        <x:v>5.551115123125783e-15</x:v>
      </x:c>
      <x:c r="AB10" s="60" t="n">
        <x:v>3.774758283725532e-15</x:v>
      </x:c>
      <x:c r="AC10" s="52" t="str">
        <x:v>No gene or coefficient change; no source-study intercept was reported or transported.</x:v>
      </x:c>
      <x:c r="AD10" s="52" t="str">
        <x:v>Fixed weighted sum; dataset-specific baseline SD standardizes longitudinal change.</x:v>
      </x:c>
      <x:c r="AE10" s="53" t="str">
        <x:v>GREEN</x:v>
      </x:c>
    </x:row>
    <x:row r="11">
      <x:c r="A11" s="42" t="str">
        <x:v>SIG034</x:v>
      </x:c>
      <x:c r="B11" s="43" t="str">
        <x:v>Severe-or-Mild score</x:v>
      </x:c>
      <x:c r="C11" s="43" t="str">
        <x:v>GSE236713</x:v>
      </x:c>
      <x:c r="D11" s="43" t="str">
        <x:v>GPL17077 Agilent whole-genome 4x44K v2</x:v>
      </x:c>
      <x:c r="E11" s="43" t="str">
        <x:v>Agilent Feature Extraction gProcessedSignal</x:v>
      </x:c>
      <x:c r="F11" s="43" t="str">
        <x:v>Per-array non-control 75th-percentile scaling to the cohort median, then log2; locked probes only</x:v>
      </x:c>
      <x:c r="G11" s="43" t="str">
        <x:v>Replicate ProbeName values mean after log2; retained probes mean to canonical gene</x:v>
      </x:c>
      <x:c r="H11" s="43" t="str">
        <x:v>Raw-data rescue used because deposited global-median baseline transform created nonpositive values incompatible with GM/ratio scores</x:v>
      </x:c>
      <x:c r="I11" s="55" t="n">
        <x:v>42</x:v>
      </x:c>
      <x:c r="J11" s="55" t="n">
        <x:v>42</x:v>
      </x:c>
      <x:c r="K11" s="59" t="n">
        <x:v>100</x:v>
      </x:c>
      <x:c r="L11" s="55" t="n">
        <x:v>61</x:v>
      </x:c>
      <x:c r="M11" s="55" t="n">
        <x:v>11</x:v>
      </x:c>
      <x:c r="N11" s="43" t="n">
        <x:v>5</x:v>
      </x:c>
      <x:c r="O11" s="55" t="n">
        <x:v>447</x:v>
      </x:c>
      <x:c r="P11" s="55" t="n">
        <x:v>0</x:v>
      </x:c>
      <x:c r="Q11" s="55" t="n">
        <x:v>0</x:v>
      </x:c>
      <x:c r="R11" s="43" t="str">
        <x:v>severe_or_mild_score</x:v>
      </x:c>
      <x:c r="S11" s="55" t="n">
        <x:v>244</x:v>
      </x:c>
      <x:c r="T11" s="43" t="n">
        <x:v>1</x:v>
      </x:c>
      <x:c r="U11" s="59" t="n">
        <x:v>0</x:v>
      </x:c>
      <x:c r="V11" s="59" t="n">
        <x:v>0</x:v>
      </x:c>
      <x:c r="W11" s="55" t="n">
        <x:v>5</x:v>
      </x:c>
      <x:c r="X11" s="55" t="n">
        <x:v>0</x:v>
      </x:c>
      <x:c r="Y11" s="55" t="n">
        <x:v>161</x:v>
      </x:c>
      <x:c r="Z11" s="55" t="n">
        <x:v>0</x:v>
      </x:c>
      <x:c r="AA11" s="59" t="n">
        <x:v>9.298117831235686e-16</x:v>
      </x:c>
      <x:c r="AB11" s="59" t="n">
        <x:v>9.603429163007604e-15</x:v>
      </x:c>
      <x:c r="AC11" s="43" t="str">
        <x:v>No formula or module-membership change.</x:v>
      </x:c>
      <x:c r="AD11" s="43" t="str">
        <x:v>Exact published module ratio on each dataset's normalized expression scale; no clinical threshold transported.</x:v>
      </x:c>
      <x:c r="AE11" s="44" t="str">
        <x:v>GREEN</x:v>
      </x:c>
    </x:row>
    <x:row r="12">
      <x:c r="A12" s="51" t="str">
        <x:v>SIG001</x:v>
      </x:c>
      <x:c r="B12" s="52" t="str">
        <x:v>Sepsis MetaScore</x:v>
      </x:c>
      <x:c r="C12" s="52" t="str">
        <x:v>GSE57065</x:v>
      </x:c>
      <x:c r="D12" s="52" t="str">
        <x:v>GPL570 Affymetrix U133 Plus 2.0</x:v>
      </x:c>
      <x:c r="E12" s="52" t="str">
        <x:v>Official series matrix</x:v>
      </x:c>
      <x:c r="F12" s="52" t="str">
        <x:v>Source RMA, log2; retained without cross-cohort renormalization</x:v>
      </x:c>
      <x:c r="G12" s="52" t="str">
        <x:v>Arithmetic mean of all retained unambiguous probes per canonical gene</x:v>
      </x:c>
      <x:c r="H12" s="52" t="str">
        <x:v>One fixed rule used at all time points</x:v>
      </x:c>
      <x:c r="I12" s="56" t="n">
        <x:v>11</x:v>
      </x:c>
      <x:c r="J12" s="56" t="n">
        <x:v>11</x:v>
      </x:c>
      <x:c r="K12" s="60" t="n">
        <x:v>100</x:v>
      </x:c>
      <x:c r="L12" s="56" t="n">
        <x:v>19</x:v>
      </x:c>
      <x:c r="M12" s="56" t="n">
        <x:v>5</x:v>
      </x:c>
      <x:c r="N12" s="52" t="n">
        <x:v>5</x:v>
      </x:c>
      <x:c r="O12" s="56" t="n">
        <x:v>107</x:v>
      </x:c>
      <x:c r="P12" s="56" t="n">
        <x:v>0</x:v>
      </x:c>
      <x:c r="Q12" s="56" t="n">
        <x:v>0</x:v>
      </x:c>
      <x:c r="R12" s="52" t="str">
        <x:v>sepsis_metascore_dgm</x:v>
      </x:c>
      <x:c r="S12" s="56" t="n">
        <x:v>108</x:v>
      </x:c>
      <x:c r="T12" s="52" t="n">
        <x:v>1</x:v>
      </x:c>
      <x:c r="U12" s="60" t="n">
        <x:v>0</x:v>
      </x:c>
      <x:c r="V12" s="60" t="n">
        <x:v>0</x:v>
      </x:c>
      <x:c r="W12" s="56" t="n">
        <x:v>5</x:v>
      </x:c>
      <x:c r="X12" s="56" t="n">
        <x:v>0</x:v>
      </x:c>
      <x:c r="Y12" s="56" t="n">
        <x:v>54</x:v>
      </x:c>
      <x:c r="Z12" s="56" t="n">
        <x:v>0</x:v>
      </x:c>
      <x:c r="AA12" s="60" t="n">
        <x:v>5.2735593669694936e-15</x:v>
      </x:c>
      <x:c r="AB12" s="60" t="n">
        <x:v>7.438494264988549e-15</x:v>
      </x:c>
      <x:c r="AC12" s="52" t="str">
        <x:v>The published 5/6 coefficient on the down-regulated module is absent.</x:v>
      </x:c>
      <x:c r="AD12" s="52" t="str">
        <x:v>Not a common positive scalar; can change score ranks, longitudinal changes, and gene-contribution architecture.</x:v>
      </x:c>
      <x:c r="AE12" s="53" t="str">
        <x:v>RED_REOPEN_ANALYSIS</x:v>
      </x:c>
    </x:row>
    <x:row r="13">
      <x:c r="A13" s="42" t="str">
        <x:v>SIG002</x:v>
      </x:c>
      <x:c r="B13" s="43" t="str">
        <x:v>SeptiCyte LAB</x:v>
      </x:c>
      <x:c r="C13" s="43" t="str">
        <x:v>GSE57065</x:v>
      </x:c>
      <x:c r="D13" s="43" t="str">
        <x:v>GPL570 Affymetrix U133 Plus 2.0</x:v>
      </x:c>
      <x:c r="E13" s="43" t="str">
        <x:v>Official series matrix</x:v>
      </x:c>
      <x:c r="F13" s="43" t="str">
        <x:v>Source RMA, log2; retained without cross-cohort renormalization</x:v>
      </x:c>
      <x:c r="G13" s="43" t="str">
        <x:v>Arithmetic mean of all retained unambiguous probes per canonical gene</x:v>
      </x:c>
      <x:c r="H13" s="43" t="str">
        <x:v>One fixed rule used at all time points</x:v>
      </x:c>
      <x:c r="I13" s="55" t="n">
        <x:v>4</x:v>
      </x:c>
      <x:c r="J13" s="55" t="n">
        <x:v>4</x:v>
      </x:c>
      <x:c r="K13" s="59" t="n">
        <x:v>100</x:v>
      </x:c>
      <x:c r="L13" s="55" t="n">
        <x:v>7</x:v>
      </x:c>
      <x:c r="M13" s="55" t="n">
        <x:v>1</x:v>
      </x:c>
      <x:c r="N13" s="43" t="n">
        <x:v>4</x:v>
      </x:c>
      <x:c r="O13" s="55" t="n">
        <x:v>107</x:v>
      </x:c>
      <x:c r="P13" s="55" t="n">
        <x:v>0</x:v>
      </x:c>
      <x:c r="Q13" s="55" t="n">
        <x:v>0</x:v>
      </x:c>
      <x:c r="R13" s="43" t="str">
        <x:v>septicyte_lab_microarray</x:v>
      </x:c>
      <x:c r="S13" s="55" t="n">
        <x:v>122</x:v>
      </x:c>
      <x:c r="T13" s="43" t="n">
        <x:v>1</x:v>
      </x:c>
      <x:c r="U13" s="59" t="n">
        <x:v>0</x:v>
      </x:c>
      <x:c r="V13" s="59" t="n">
        <x:v>0</x:v>
      </x:c>
      <x:c r="W13" s="55" t="n">
        <x:v>5</x:v>
      </x:c>
      <x:c r="X13" s="55" t="n">
        <x:v>0</x:v>
      </x:c>
      <x:c r="Y13" s="55" t="n">
        <x:v>54</x:v>
      </x:c>
      <x:c r="Z13" s="55" t="n">
        <x:v>0</x:v>
      </x:c>
      <x:c r="AA13" s="59" t="n">
        <x:v>4.884981308350689e-15</x:v>
      </x:c>
      <x:c r="AB13" s="59" t="n">
        <x:v>3.9968028886505635e-15</x:v>
      </x:c>
      <x:c r="AC13" s="43" t="str">
        <x:v>No coefficient or gene difference; public normalized transcriptomic values are substituted for assay-specific log intensity.</x:v>
      </x:c>
      <x:c r="AD13" s="43" t="str">
        <x:v>Exact linear contrast on log-scale microarrays; VST RNA-seq is a platform-transfer approximation and is not a clinical assay score.</x:v>
      </x:c>
      <x:c r="AE13" s="44" t="str">
        <x:v>AMBER_DISCLOSE_PLATFORM_TRANSFER</x:v>
      </x:c>
    </x:row>
    <x:row r="14">
      <x:c r="A14" s="51" t="str">
        <x:v>SIG003</x:v>
      </x:c>
      <x:c r="B14" s="52" t="str">
        <x:v>FAIM3:PLAC8 ratio</x:v>
      </x:c>
      <x:c r="C14" s="52" t="str">
        <x:v>GSE57065</x:v>
      </x:c>
      <x:c r="D14" s="52" t="str">
        <x:v>GPL570 Affymetrix U133 Plus 2.0</x:v>
      </x:c>
      <x:c r="E14" s="52" t="str">
        <x:v>Official series matrix</x:v>
      </x:c>
      <x:c r="F14" s="52" t="str">
        <x:v>Source RMA, log2; retained without cross-cohort renormalization</x:v>
      </x:c>
      <x:c r="G14" s="52" t="str">
        <x:v>Arithmetic mean of all retained unambiguous probes per canonical gene</x:v>
      </x:c>
      <x:c r="H14" s="52" t="str">
        <x:v>One fixed rule used at all time points</x:v>
      </x:c>
      <x:c r="I14" s="56" t="n">
        <x:v>2</x:v>
      </x:c>
      <x:c r="J14" s="56" t="n">
        <x:v>2</x:v>
      </x:c>
      <x:c r="K14" s="60" t="n">
        <x:v>100</x:v>
      </x:c>
      <x:c r="L14" s="56" t="n">
        <x:v>3</x:v>
      </x:c>
      <x:c r="M14" s="56" t="n">
        <x:v>1</x:v>
      </x:c>
      <x:c r="N14" s="52" t="n">
        <x:v>2</x:v>
      </x:c>
      <x:c r="O14" s="56" t="n">
        <x:v>107</x:v>
      </x:c>
      <x:c r="P14" s="56" t="n">
        <x:v>0</x:v>
      </x:c>
      <x:c r="Q14" s="56" t="n">
        <x:v>0</x:v>
      </x:c>
      <x:c r="R14" s="52" t="str">
        <x:v>faim3_plac8_ratio</x:v>
      </x:c>
      <x:c r="S14" s="56" t="n">
        <x:v>133</x:v>
      </x:c>
      <x:c r="T14" s="52" t="n">
        <x:v>-1</x:v>
      </x:c>
      <x:c r="U14" s="60" t="n">
        <x:v>0</x:v>
      </x:c>
      <x:c r="V14" s="60" t="n">
        <x:v>0</x:v>
      </x:c>
      <x:c r="W14" s="56" t="n">
        <x:v>5</x:v>
      </x:c>
      <x:c r="X14" s="56" t="n">
        <x:v>0</x:v>
      </x:c>
      <x:c r="Y14" s="56" t="n">
        <x:v>54</x:v>
      </x:c>
      <x:c r="Z14" s="56" t="n">
        <x:v>0</x:v>
      </x:c>
      <x:c r="AA14" s="60" t="n">
        <x:v>0</x:v>
      </x:c>
      <x:c r="AB14" s="60" t="n">
        <x:v>0</x:v>
      </x:c>
      <x:c r="AC14" s="52" t="str">
        <x:v>No formula change; study-specific expression preprocessing and a harmonizing direction multiplier are explicit.</x:v>
      </x:c>
      <x:c r="AD14" s="52" t="str">
        <x:v>Direction inversion changes sign only and is applied once; thresholds from the diagnostic assay are not transported.</x:v>
      </x:c>
      <x:c r="AE14" s="53" t="str">
        <x:v>AMBER_DISCLOSE_PLATFORM_TRANSFER</x:v>
      </x:c>
    </x:row>
    <x:row r="15">
      <x:c r="A15" s="42" t="str">
        <x:v>SIG004</x:v>
      </x:c>
      <x:c r="B15" s="43" t="str">
        <x:v>sNIP</x:v>
      </x:c>
      <x:c r="C15" s="43" t="str">
        <x:v>GSE57065</x:v>
      </x:c>
      <x:c r="D15" s="43" t="str">
        <x:v>GPL570 Affymetrix U133 Plus 2.0</x:v>
      </x:c>
      <x:c r="E15" s="43" t="str">
        <x:v>Official series matrix</x:v>
      </x:c>
      <x:c r="F15" s="43" t="str">
        <x:v>Source RMA, log2; retained without cross-cohort renormalization</x:v>
      </x:c>
      <x:c r="G15" s="43" t="str">
        <x:v>Arithmetic mean of all retained unambiguous probes per canonical gene</x:v>
      </x:c>
      <x:c r="H15" s="43" t="str">
        <x:v>One fixed rule used at all time points</x:v>
      </x:c>
      <x:c r="I15" s="55" t="n">
        <x:v>3</x:v>
      </x:c>
      <x:c r="J15" s="55" t="n">
        <x:v>3</x:v>
      </x:c>
      <x:c r="K15" s="59" t="n">
        <x:v>100</x:v>
      </x:c>
      <x:c r="L15" s="55" t="n">
        <x:v>8</x:v>
      </x:c>
      <x:c r="M15" s="55" t="n">
        <x:v>2</x:v>
      </x:c>
      <x:c r="N15" s="43" t="n">
        <x:v>5</x:v>
      </x:c>
      <x:c r="O15" s="55" t="n">
        <x:v>107</x:v>
      </x:c>
      <x:c r="P15" s="55" t="n">
        <x:v>0</x:v>
      </x:c>
      <x:c r="Q15" s="55" t="n">
        <x:v>0</x:v>
      </x:c>
      <x:c r="R15" s="43" t="str">
        <x:v>snip_score</x:v>
      </x:c>
      <x:c r="S15" s="55" t="n">
        <x:v>149</x:v>
      </x:c>
      <x:c r="T15" s="43" t="n">
        <x:v>1</x:v>
      </x:c>
      <x:c r="U15" s="59" t="n">
        <x:v>0</x:v>
      </x:c>
      <x:c r="V15" s="59" t="n">
        <x:v>0</x:v>
      </x:c>
      <x:c r="W15" s="55" t="n">
        <x:v>5</x:v>
      </x:c>
      <x:c r="X15" s="55" t="n">
        <x:v>0</x:v>
      </x:c>
      <x:c r="Y15" s="55" t="n">
        <x:v>54</x:v>
      </x:c>
      <x:c r="Z15" s="55" t="n">
        <x:v>0</x:v>
      </x:c>
      <x:c r="AA15" s="59" t="n">
        <x:v>2.7755575615628914e-17</x:v>
      </x:c>
      <x:c r="AB15" s="59" t="n">
        <x:v>4.440892098500626e-16</x:v>
      </x:c>
      <x:c r="AC15" s="43" t="str">
        <x:v>No formula change; public transcriptome expression replaces assay-specific HPRT1-normalized qRT-PCR measurements.</x:v>
      </x:c>
      <x:c r="AD15" s="43" t="str">
        <x:v>Cross-platform measurement audit only; the published clinical threshold is not transported.</x:v>
      </x:c>
      <x:c r="AE15" s="44" t="str">
        <x:v>AMBER_DISCLOSE_PLATFORM_TRANSFER</x:v>
      </x:c>
    </x:row>
    <x:row r="16">
      <x:c r="A16" s="51" t="str">
        <x:v>SIG022</x:v>
      </x:c>
      <x:c r="B16" s="52" t="str">
        <x:v>Bacterial/Viral MetaScore</x:v>
      </x:c>
      <x:c r="C16" s="52" t="str">
        <x:v>GSE57065</x:v>
      </x:c>
      <x:c r="D16" s="52" t="str">
        <x:v>GPL570 Affymetrix U133 Plus 2.0</x:v>
      </x:c>
      <x:c r="E16" s="52" t="str">
        <x:v>Official series matrix</x:v>
      </x:c>
      <x:c r="F16" s="52" t="str">
        <x:v>Source RMA, log2; retained without cross-cohort renormalization</x:v>
      </x:c>
      <x:c r="G16" s="52" t="str">
        <x:v>Arithmetic mean of all retained unambiguous probes per canonical gene</x:v>
      </x:c>
      <x:c r="H16" s="52" t="str">
        <x:v>One fixed rule used at all time points</x:v>
      </x:c>
      <x:c r="I16" s="56" t="n">
        <x:v>7</x:v>
      </x:c>
      <x:c r="J16" s="56" t="n">
        <x:v>7</x:v>
      </x:c>
      <x:c r="K16" s="60" t="n">
        <x:v>100</x:v>
      </x:c>
      <x:c r="L16" s="56" t="n">
        <x:v>16</x:v>
      </x:c>
      <x:c r="M16" s="56" t="n">
        <x:v>4</x:v>
      </x:c>
      <x:c r="N16" s="52" t="n">
        <x:v>5</x:v>
      </x:c>
      <x:c r="O16" s="56" t="n">
        <x:v>107</x:v>
      </x:c>
      <x:c r="P16" s="56" t="n">
        <x:v>0</x:v>
      </x:c>
      <x:c r="Q16" s="56" t="n">
        <x:v>0</x:v>
      </x:c>
      <x:c r="R16" s="52" t="str">
        <x:v>sweeney_bv_ordering_score</x:v>
      </x:c>
      <x:c r="S16" s="56" t="n">
        <x:v>171</x:v>
      </x:c>
      <x:c r="T16" s="52" t="n">
        <x:v>1</x:v>
      </x:c>
      <x:c r="U16" s="60" t="n">
        <x:v>0</x:v>
      </x:c>
      <x:c r="V16" s="60" t="n">
        <x:v>0</x:v>
      </x:c>
      <x:c r="W16" s="56" t="n">
        <x:v>5</x:v>
      </x:c>
      <x:c r="X16" s="56" t="n">
        <x:v>0</x:v>
      </x:c>
      <x:c r="Y16" s="56" t="n">
        <x:v>54</x:v>
      </x:c>
      <x:c r="Z16" s="56" t="n">
        <x:v>0</x:v>
      </x:c>
      <x:c r="AA16" s="60" t="n">
        <x:v>7.105427357601002e-15</x:v>
      </x:c>
      <x:c r="AB16" s="60" t="n">
        <x:v>9.769962616701378e-15</x:v>
      </x:c>
      <x:c r="AC16" s="52" t="str">
        <x:v>The publication's common positive gene-count scalar is omitted.</x:v>
      </x:c>
      <x:c r="AD16" s="52" t="str">
        <x:v>A common positive scalar preserves ranks, signs, delta Z, and standardized exact contributions; raw-score units differ.</x:v>
      </x:c>
      <x:c r="AE16" s="53" t="str">
        <x:v>AMBER_DISCLOSE_RAW_UNIT_DIFFERENCE</x:v>
      </x:c>
    </x:row>
    <x:row r="17">
      <x:c r="A17" s="42" t="str">
        <x:v>SIG023</x:v>
      </x:c>
      <x:c r="B17" s="43" t="str">
        <x:v>Herberg Disease Risk Score</x:v>
      </x:c>
      <x:c r="C17" s="43" t="str">
        <x:v>GSE57065</x:v>
      </x:c>
      <x:c r="D17" s="43" t="str">
        <x:v>GPL570 Affymetrix U133 Plus 2.0</x:v>
      </x:c>
      <x:c r="E17" s="43" t="str">
        <x:v>Official series matrix</x:v>
      </x:c>
      <x:c r="F17" s="43" t="str">
        <x:v>Source RMA, log2; retained without cross-cohort renormalization</x:v>
      </x:c>
      <x:c r="G17" s="43" t="str">
        <x:v>Arithmetic mean of all retained unambiguous probes per canonical gene</x:v>
      </x:c>
      <x:c r="H17" s="43" t="str">
        <x:v>One fixed rule used at all time points</x:v>
      </x:c>
      <x:c r="I17" s="55" t="n">
        <x:v>2</x:v>
      </x:c>
      <x:c r="J17" s="55" t="n">
        <x:v>2</x:v>
      </x:c>
      <x:c r="K17" s="59" t="n">
        <x:v>100</x:v>
      </x:c>
      <x:c r="L17" s="55" t="n">
        <x:v>2</x:v>
      </x:c>
      <x:c r="M17" s="55" t="n">
        <x:v>0</x:v>
      </x:c>
      <x:c r="N17" s="43" t="n">
        <x:v>1</x:v>
      </x:c>
      <x:c r="O17" s="55" t="n">
        <x:v>107</x:v>
      </x:c>
      <x:c r="P17" s="55" t="n">
        <x:v>0</x:v>
      </x:c>
      <x:c r="Q17" s="55" t="n">
        <x:v>0</x:v>
      </x:c>
      <x:c r="R17" s="43" t="str">
        <x:v>herberg_two_gene_drs</x:v>
      </x:c>
      <x:c r="S17" s="55" t="n">
        <x:v>159</x:v>
      </x:c>
      <x:c r="T17" s="43" t="n">
        <x:v>1</x:v>
      </x:c>
      <x:c r="U17" s="59" t="n">
        <x:v>0</x:v>
      </x:c>
      <x:c r="V17" s="59" t="n">
        <x:v>0</x:v>
      </x:c>
      <x:c r="W17" s="55" t="n">
        <x:v>5</x:v>
      </x:c>
      <x:c r="X17" s="55" t="n">
        <x:v>0</x:v>
      </x:c>
      <x:c r="Y17" s="55" t="n">
        <x:v>54</x:v>
      </x:c>
      <x:c r="Z17" s="55" t="n">
        <x:v>0</x:v>
      </x:c>
      <x:c r="AA17" s="59" t="n">
        <x:v>8.881784197001252e-16</x:v>
      </x:c>
      <x:c r="AB17" s="59" t="n">
        <x:v>2.220446049250313e-16</x:v>
      </x:c>
      <x:c r="AC17" s="43" t="str">
        <x:v>No formula change.</x:v>
      </x:c>
      <x:c r="AD17" s="43" t="str">
        <x:v>Linear contrast; dataset-specific scale is removed only after patient-level change by baseline SD.</x:v>
      </x:c>
      <x:c r="AE17" s="44" t="str">
        <x:v>GREEN</x:v>
      </x:c>
    </x:row>
    <x:row r="18">
      <x:c r="A18" s="51" t="str">
        <x:v>SIG033</x:v>
      </x:c>
      <x:c r="B18" s="52" t="str">
        <x:v>Lin seven-gene mortality score</x:v>
      </x:c>
      <x:c r="C18" s="52" t="str">
        <x:v>GSE57065</x:v>
      </x:c>
      <x:c r="D18" s="52" t="str">
        <x:v>GPL570 Affymetrix U133 Plus 2.0</x:v>
      </x:c>
      <x:c r="E18" s="52" t="str">
        <x:v>Official series matrix</x:v>
      </x:c>
      <x:c r="F18" s="52" t="str">
        <x:v>Source RMA, log2; retained without cross-cohort renormalization</x:v>
      </x:c>
      <x:c r="G18" s="52" t="str">
        <x:v>Arithmetic mean of all retained unambiguous probes per canonical gene</x:v>
      </x:c>
      <x:c r="H18" s="52" t="str">
        <x:v>One fixed rule used at all time points</x:v>
      </x:c>
      <x:c r="I18" s="56" t="n">
        <x:v>7</x:v>
      </x:c>
      <x:c r="J18" s="56" t="n">
        <x:v>7</x:v>
      </x:c>
      <x:c r="K18" s="60" t="n">
        <x:v>100</x:v>
      </x:c>
      <x:c r="L18" s="56" t="n">
        <x:v>10</x:v>
      </x:c>
      <x:c r="M18" s="56" t="n">
        <x:v>3</x:v>
      </x:c>
      <x:c r="N18" s="52" t="n">
        <x:v>2</x:v>
      </x:c>
      <x:c r="O18" s="56" t="n">
        <x:v>107</x:v>
      </x:c>
      <x:c r="P18" s="56" t="n">
        <x:v>0</x:v>
      </x:c>
      <x:c r="Q18" s="56" t="n">
        <x:v>0</x:v>
      </x:c>
      <x:c r="R18" s="52" t="str">
        <x:v>lin7_mortality_score</x:v>
      </x:c>
      <x:c r="S18" s="56" t="n">
        <x:v>230</x:v>
      </x:c>
      <x:c r="T18" s="52" t="n">
        <x:v>1</x:v>
      </x:c>
      <x:c r="U18" s="60" t="n">
        <x:v>0</x:v>
      </x:c>
      <x:c r="V18" s="60" t="n">
        <x:v>0</x:v>
      </x:c>
      <x:c r="W18" s="56" t="n">
        <x:v>5</x:v>
      </x:c>
      <x:c r="X18" s="56" t="n">
        <x:v>0</x:v>
      </x:c>
      <x:c r="Y18" s="56" t="n">
        <x:v>54</x:v>
      </x:c>
      <x:c r="Z18" s="56" t="n">
        <x:v>0</x:v>
      </x:c>
      <x:c r="AA18" s="60" t="n">
        <x:v>3.774758283725532e-15</x:v>
      </x:c>
      <x:c r="AB18" s="60" t="n">
        <x:v>3.552713678800501e-15</x:v>
      </x:c>
      <x:c r="AC18" s="52" t="str">
        <x:v>No gene or coefficient change; no source-study intercept was reported or transported.</x:v>
      </x:c>
      <x:c r="AD18" s="52" t="str">
        <x:v>Fixed weighted sum; dataset-specific baseline SD standardizes longitudinal change.</x:v>
      </x:c>
      <x:c r="AE18" s="53" t="str">
        <x:v>GREEN</x:v>
      </x:c>
    </x:row>
    <x:row r="19">
      <x:c r="A19" s="42" t="str">
        <x:v>SIG034</x:v>
      </x:c>
      <x:c r="B19" s="43" t="str">
        <x:v>Severe-or-Mild score</x:v>
      </x:c>
      <x:c r="C19" s="43" t="str">
        <x:v>GSE57065</x:v>
      </x:c>
      <x:c r="D19" s="43" t="str">
        <x:v>GPL570 Affymetrix U133 Plus 2.0</x:v>
      </x:c>
      <x:c r="E19" s="43" t="str">
        <x:v>Official series matrix</x:v>
      </x:c>
      <x:c r="F19" s="43" t="str">
        <x:v>Source RMA, log2; retained without cross-cohort renormalization</x:v>
      </x:c>
      <x:c r="G19" s="43" t="str">
        <x:v>Arithmetic mean of all retained unambiguous probes per canonical gene</x:v>
      </x:c>
      <x:c r="H19" s="43" t="str">
        <x:v>One fixed rule used at all time points</x:v>
      </x:c>
      <x:c r="I19" s="55" t="n">
        <x:v>42</x:v>
      </x:c>
      <x:c r="J19" s="55" t="n">
        <x:v>42</x:v>
      </x:c>
      <x:c r="K19" s="59" t="n">
        <x:v>100</x:v>
      </x:c>
      <x:c r="L19" s="55" t="n">
        <x:v>79</x:v>
      </x:c>
      <x:c r="M19" s="55" t="n">
        <x:v>20</x:v>
      </x:c>
      <x:c r="N19" s="43" t="n">
        <x:v>7</x:v>
      </x:c>
      <x:c r="O19" s="55" t="n">
        <x:v>107</x:v>
      </x:c>
      <x:c r="P19" s="55" t="n">
        <x:v>0</x:v>
      </x:c>
      <x:c r="Q19" s="55" t="n">
        <x:v>0</x:v>
      </x:c>
      <x:c r="R19" s="43" t="str">
        <x:v>severe_or_mild_score</x:v>
      </x:c>
      <x:c r="S19" s="55" t="n">
        <x:v>244</x:v>
      </x:c>
      <x:c r="T19" s="43" t="n">
        <x:v>1</x:v>
      </x:c>
      <x:c r="U19" s="59" t="n">
        <x:v>0</x:v>
      </x:c>
      <x:c r="V19" s="59" t="n">
        <x:v>0</x:v>
      </x:c>
      <x:c r="W19" s="55" t="n">
        <x:v>5</x:v>
      </x:c>
      <x:c r="X19" s="55" t="n">
        <x:v>0</x:v>
      </x:c>
      <x:c r="Y19" s="55" t="n">
        <x:v>54</x:v>
      </x:c>
      <x:c r="Z19" s="55" t="n">
        <x:v>0</x:v>
      </x:c>
      <x:c r="AA19" s="59" t="n">
        <x:v>8.604228440844963e-16</x:v>
      </x:c>
      <x:c r="AB19" s="59" t="n">
        <x:v>1.0325074129013956e-14</x:v>
      </x:c>
      <x:c r="AC19" s="43" t="str">
        <x:v>No formula or module-membership change.</x:v>
      </x:c>
      <x:c r="AD19" s="43" t="str">
        <x:v>Exact published module ratio on each dataset's normalized expression scale; no clinical threshold transported.</x:v>
      </x:c>
      <x:c r="AE19" s="44" t="str">
        <x:v>GREEN</x:v>
      </x:c>
    </x:row>
    <x:row r="20">
      <x:c r="A20" s="51" t="str">
        <x:v>SIG001</x:v>
      </x:c>
      <x:c r="B20" s="52" t="str">
        <x:v>Sepsis MetaScore</x:v>
      </x:c>
      <x:c r="C20" s="52" t="str">
        <x:v>GSE95233</x:v>
      </x:c>
      <x:c r="D20" s="52" t="str">
        <x:v>GPL570 Affymetrix U133 Plus 2.0</x:v>
      </x:c>
      <x:c r="E20" s="52" t="str">
        <x:v>Official series matrix</x:v>
      </x:c>
      <x:c r="F20" s="52" t="str">
        <x:v>Source RMA, log2; retained without cross-cohort renormalization</x:v>
      </x:c>
      <x:c r="G20" s="52" t="str">
        <x:v>Arithmetic mean of all retained unambiguous probes per canonical gene</x:v>
      </x:c>
      <x:c r="H20" s="52" t="str">
        <x:v>One fixed rule used at all time points</x:v>
      </x:c>
      <x:c r="I20" s="56" t="n">
        <x:v>11</x:v>
      </x:c>
      <x:c r="J20" s="56" t="n">
        <x:v>11</x:v>
      </x:c>
      <x:c r="K20" s="60" t="n">
        <x:v>100</x:v>
      </x:c>
      <x:c r="L20" s="56" t="n">
        <x:v>19</x:v>
      </x:c>
      <x:c r="M20" s="56" t="n">
        <x:v>5</x:v>
      </x:c>
      <x:c r="N20" s="52" t="n">
        <x:v>5</x:v>
      </x:c>
      <x:c r="O20" s="56" t="n">
        <x:v>124</x:v>
      </x:c>
      <x:c r="P20" s="56" t="n">
        <x:v>0</x:v>
      </x:c>
      <x:c r="Q20" s="56" t="n">
        <x:v>0</x:v>
      </x:c>
      <x:c r="R20" s="52" t="str">
        <x:v>sepsis_metascore_dgm</x:v>
      </x:c>
      <x:c r="S20" s="56" t="n">
        <x:v>108</x:v>
      </x:c>
      <x:c r="T20" s="52" t="n">
        <x:v>1</x:v>
      </x:c>
      <x:c r="U20" s="60" t="n">
        <x:v>0</x:v>
      </x:c>
      <x:c r="V20" s="60" t="n">
        <x:v>0</x:v>
      </x:c>
      <x:c r="W20" s="56" t="n">
        <x:v>5</x:v>
      </x:c>
      <x:c r="X20" s="56" t="n">
        <x:v>0</x:v>
      </x:c>
      <x:c r="Y20" s="56" t="n">
        <x:v>51</x:v>
      </x:c>
      <x:c r="Z20" s="56" t="n">
        <x:v>0</x:v>
      </x:c>
      <x:c r="AA20" s="60" t="n">
        <x:v>7.105427357601002e-15</x:v>
      </x:c>
      <x:c r="AB20" s="60" t="n">
        <x:v>1.1102230246251564e-14</x:v>
      </x:c>
      <x:c r="AC20" s="52" t="str">
        <x:v>The published 5/6 coefficient on the down-regulated module is absent.</x:v>
      </x:c>
      <x:c r="AD20" s="52" t="str">
        <x:v>Not a common positive scalar; can change score ranks, longitudinal changes, and gene-contribution architecture.</x:v>
      </x:c>
      <x:c r="AE20" s="53" t="str">
        <x:v>RED_REOPEN_ANALYSIS</x:v>
      </x:c>
    </x:row>
    <x:row r="21">
      <x:c r="A21" s="42" t="str">
        <x:v>SIG002</x:v>
      </x:c>
      <x:c r="B21" s="43" t="str">
        <x:v>SeptiCyte LAB</x:v>
      </x:c>
      <x:c r="C21" s="43" t="str">
        <x:v>GSE95233</x:v>
      </x:c>
      <x:c r="D21" s="43" t="str">
        <x:v>GPL570 Affymetrix U133 Plus 2.0</x:v>
      </x:c>
      <x:c r="E21" s="43" t="str">
        <x:v>Official series matrix</x:v>
      </x:c>
      <x:c r="F21" s="43" t="str">
        <x:v>Source RMA, log2; retained without cross-cohort renormalization</x:v>
      </x:c>
      <x:c r="G21" s="43" t="str">
        <x:v>Arithmetic mean of all retained unambiguous probes per canonical gene</x:v>
      </x:c>
      <x:c r="H21" s="43" t="str">
        <x:v>One fixed rule used at all time points</x:v>
      </x:c>
      <x:c r="I21" s="55" t="n">
        <x:v>4</x:v>
      </x:c>
      <x:c r="J21" s="55" t="n">
        <x:v>4</x:v>
      </x:c>
      <x:c r="K21" s="59" t="n">
        <x:v>100</x:v>
      </x:c>
      <x:c r="L21" s="55" t="n">
        <x:v>7</x:v>
      </x:c>
      <x:c r="M21" s="55" t="n">
        <x:v>1</x:v>
      </x:c>
      <x:c r="N21" s="43" t="n">
        <x:v>4</x:v>
      </x:c>
      <x:c r="O21" s="55" t="n">
        <x:v>124</x:v>
      </x:c>
      <x:c r="P21" s="55" t="n">
        <x:v>0</x:v>
      </x:c>
      <x:c r="Q21" s="55" t="n">
        <x:v>0</x:v>
      </x:c>
      <x:c r="R21" s="43" t="str">
        <x:v>septicyte_lab_microarray</x:v>
      </x:c>
      <x:c r="S21" s="55" t="n">
        <x:v>122</x:v>
      </x:c>
      <x:c r="T21" s="43" t="n">
        <x:v>1</x:v>
      </x:c>
      <x:c r="U21" s="59" t="n">
        <x:v>0</x:v>
      </x:c>
      <x:c r="V21" s="59" t="n">
        <x:v>0</x:v>
      </x:c>
      <x:c r="W21" s="55" t="n">
        <x:v>5</x:v>
      </x:c>
      <x:c r="X21" s="55" t="n">
        <x:v>0</x:v>
      </x:c>
      <x:c r="Y21" s="55" t="n">
        <x:v>51</x:v>
      </x:c>
      <x:c r="Z21" s="55" t="n">
        <x:v>0</x:v>
      </x:c>
      <x:c r="AA21" s="59" t="n">
        <x:v>5.3290705182007506e-15</x:v>
      </x:c>
      <x:c r="AB21" s="59" t="n">
        <x:v>5.384581669432009e-15</x:v>
      </x:c>
      <x:c r="AC21" s="43" t="str">
        <x:v>No coefficient or gene difference; public normalized transcriptomic values are substituted for assay-specific log intensity.</x:v>
      </x:c>
      <x:c r="AD21" s="43" t="str">
        <x:v>Exact linear contrast on log-scale microarrays; VST RNA-seq is a platform-transfer approximation and is not a clinical assay score.</x:v>
      </x:c>
      <x:c r="AE21" s="44" t="str">
        <x:v>AMBER_DISCLOSE_PLATFORM_TRANSFER</x:v>
      </x:c>
    </x:row>
    <x:row r="22">
      <x:c r="A22" s="51" t="str">
        <x:v>SIG003</x:v>
      </x:c>
      <x:c r="B22" s="52" t="str">
        <x:v>FAIM3:PLAC8 ratio</x:v>
      </x:c>
      <x:c r="C22" s="52" t="str">
        <x:v>GSE95233</x:v>
      </x:c>
      <x:c r="D22" s="52" t="str">
        <x:v>GPL570 Affymetrix U133 Plus 2.0</x:v>
      </x:c>
      <x:c r="E22" s="52" t="str">
        <x:v>Official series matrix</x:v>
      </x:c>
      <x:c r="F22" s="52" t="str">
        <x:v>Source RMA, log2; retained without cross-cohort renormalization</x:v>
      </x:c>
      <x:c r="G22" s="52" t="str">
        <x:v>Arithmetic mean of all retained unambiguous probes per canonical gene</x:v>
      </x:c>
      <x:c r="H22" s="52" t="str">
        <x:v>One fixed rule used at all time points</x:v>
      </x:c>
      <x:c r="I22" s="56" t="n">
        <x:v>2</x:v>
      </x:c>
      <x:c r="J22" s="56" t="n">
        <x:v>2</x:v>
      </x:c>
      <x:c r="K22" s="60" t="n">
        <x:v>100</x:v>
      </x:c>
      <x:c r="L22" s="56" t="n">
        <x:v>3</x:v>
      </x:c>
      <x:c r="M22" s="56" t="n">
        <x:v>1</x:v>
      </x:c>
      <x:c r="N22" s="52" t="n">
        <x:v>2</x:v>
      </x:c>
      <x:c r="O22" s="56" t="n">
        <x:v>124</x:v>
      </x:c>
      <x:c r="P22" s="56" t="n">
        <x:v>0</x:v>
      </x:c>
      <x:c r="Q22" s="56" t="n">
        <x:v>0</x:v>
      </x:c>
      <x:c r="R22" s="52" t="str">
        <x:v>faim3_plac8_ratio</x:v>
      </x:c>
      <x:c r="S22" s="56" t="n">
        <x:v>133</x:v>
      </x:c>
      <x:c r="T22" s="52" t="n">
        <x:v>-1</x:v>
      </x:c>
      <x:c r="U22" s="60" t="n">
        <x:v>0</x:v>
      </x:c>
      <x:c r="V22" s="60" t="n">
        <x:v>0</x:v>
      </x:c>
      <x:c r="W22" s="56" t="n">
        <x:v>5</x:v>
      </x:c>
      <x:c r="X22" s="56" t="n">
        <x:v>0</x:v>
      </x:c>
      <x:c r="Y22" s="56" t="n">
        <x:v>51</x:v>
      </x:c>
      <x:c r="Z22" s="56" t="n">
        <x:v>0</x:v>
      </x:c>
      <x:c r="AA22" s="60" t="n">
        <x:v>0</x:v>
      </x:c>
      <x:c r="AB22" s="60" t="n">
        <x:v>0</x:v>
      </x:c>
      <x:c r="AC22" s="52" t="str">
        <x:v>No formula change; study-specific expression preprocessing and a harmonizing direction multiplier are explicit.</x:v>
      </x:c>
      <x:c r="AD22" s="52" t="str">
        <x:v>Direction inversion changes sign only and is applied once; thresholds from the diagnostic assay are not transported.</x:v>
      </x:c>
      <x:c r="AE22" s="53" t="str">
        <x:v>AMBER_DISCLOSE_PLATFORM_TRANSFER</x:v>
      </x:c>
    </x:row>
    <x:row r="23">
      <x:c r="A23" s="42" t="str">
        <x:v>SIG004</x:v>
      </x:c>
      <x:c r="B23" s="43" t="str">
        <x:v>sNIP</x:v>
      </x:c>
      <x:c r="C23" s="43" t="str">
        <x:v>GSE95233</x:v>
      </x:c>
      <x:c r="D23" s="43" t="str">
        <x:v>GPL570 Affymetrix U133 Plus 2.0</x:v>
      </x:c>
      <x:c r="E23" s="43" t="str">
        <x:v>Official series matrix</x:v>
      </x:c>
      <x:c r="F23" s="43" t="str">
        <x:v>Source RMA, log2; retained without cross-cohort renormalization</x:v>
      </x:c>
      <x:c r="G23" s="43" t="str">
        <x:v>Arithmetic mean of all retained unambiguous probes per canonical gene</x:v>
      </x:c>
      <x:c r="H23" s="43" t="str">
        <x:v>One fixed rule used at all time points</x:v>
      </x:c>
      <x:c r="I23" s="55" t="n">
        <x:v>3</x:v>
      </x:c>
      <x:c r="J23" s="55" t="n">
        <x:v>3</x:v>
      </x:c>
      <x:c r="K23" s="59" t="n">
        <x:v>100</x:v>
      </x:c>
      <x:c r="L23" s="55" t="n">
        <x:v>8</x:v>
      </x:c>
      <x:c r="M23" s="55" t="n">
        <x:v>2</x:v>
      </x:c>
      <x:c r="N23" s="43" t="n">
        <x:v>5</x:v>
      </x:c>
      <x:c r="O23" s="55" t="n">
        <x:v>124</x:v>
      </x:c>
      <x:c r="P23" s="55" t="n">
        <x:v>0</x:v>
      </x:c>
      <x:c r="Q23" s="55" t="n">
        <x:v>0</x:v>
      </x:c>
      <x:c r="R23" s="43" t="str">
        <x:v>snip_score</x:v>
      </x:c>
      <x:c r="S23" s="55" t="n">
        <x:v>149</x:v>
      </x:c>
      <x:c r="T23" s="43" t="n">
        <x:v>1</x:v>
      </x:c>
      <x:c r="U23" s="59" t="n">
        <x:v>0</x:v>
      </x:c>
      <x:c r="V23" s="59" t="n">
        <x:v>0</x:v>
      </x:c>
      <x:c r="W23" s="55" t="n">
        <x:v>5</x:v>
      </x:c>
      <x:c r="X23" s="55" t="n">
        <x:v>0</x:v>
      </x:c>
      <x:c r="Y23" s="55" t="n">
        <x:v>51</x:v>
      </x:c>
      <x:c r="Z23" s="55" t="n">
        <x:v>0</x:v>
      </x:c>
      <x:c r="AA23" s="59" t="n">
        <x:v>2.7755575615628914e-17</x:v>
      </x:c>
      <x:c r="AB23" s="59" t="n">
        <x:v>8.881784197001252e-16</x:v>
      </x:c>
      <x:c r="AC23" s="43" t="str">
        <x:v>No formula change; public transcriptome expression replaces assay-specific HPRT1-normalized qRT-PCR measurements.</x:v>
      </x:c>
      <x:c r="AD23" s="43" t="str">
        <x:v>Cross-platform measurement audit only; the published clinical threshold is not transported.</x:v>
      </x:c>
      <x:c r="AE23" s="44" t="str">
        <x:v>AMBER_DISCLOSE_PLATFORM_TRANSFER</x:v>
      </x:c>
    </x:row>
    <x:row r="24">
      <x:c r="A24" s="51" t="str">
        <x:v>SIG022</x:v>
      </x:c>
      <x:c r="B24" s="52" t="str">
        <x:v>Bacterial/Viral MetaScore</x:v>
      </x:c>
      <x:c r="C24" s="52" t="str">
        <x:v>GSE95233</x:v>
      </x:c>
      <x:c r="D24" s="52" t="str">
        <x:v>GPL570 Affymetrix U133 Plus 2.0</x:v>
      </x:c>
      <x:c r="E24" s="52" t="str">
        <x:v>Official series matrix</x:v>
      </x:c>
      <x:c r="F24" s="52" t="str">
        <x:v>Source RMA, log2; retained without cross-cohort renormalization</x:v>
      </x:c>
      <x:c r="G24" s="52" t="str">
        <x:v>Arithmetic mean of all retained unambiguous probes per canonical gene</x:v>
      </x:c>
      <x:c r="H24" s="52" t="str">
        <x:v>One fixed rule used at all time points</x:v>
      </x:c>
      <x:c r="I24" s="56" t="n">
        <x:v>7</x:v>
      </x:c>
      <x:c r="J24" s="56" t="n">
        <x:v>7</x:v>
      </x:c>
      <x:c r="K24" s="60" t="n">
        <x:v>100</x:v>
      </x:c>
      <x:c r="L24" s="56" t="n">
        <x:v>16</x:v>
      </x:c>
      <x:c r="M24" s="56" t="n">
        <x:v>4</x:v>
      </x:c>
      <x:c r="N24" s="52" t="n">
        <x:v>5</x:v>
      </x:c>
      <x:c r="O24" s="56" t="n">
        <x:v>124</x:v>
      </x:c>
      <x:c r="P24" s="56" t="n">
        <x:v>0</x:v>
      </x:c>
      <x:c r="Q24" s="56" t="n">
        <x:v>0</x:v>
      </x:c>
      <x:c r="R24" s="52" t="str">
        <x:v>sweeney_bv_ordering_score</x:v>
      </x:c>
      <x:c r="S24" s="56" t="n">
        <x:v>171</x:v>
      </x:c>
      <x:c r="T24" s="52" t="n">
        <x:v>1</x:v>
      </x:c>
      <x:c r="U24" s="60" t="n">
        <x:v>0</x:v>
      </x:c>
      <x:c r="V24" s="60" t="n">
        <x:v>0</x:v>
      </x:c>
      <x:c r="W24" s="56" t="n">
        <x:v>5</x:v>
      </x:c>
      <x:c r="X24" s="56" t="n">
        <x:v>0</x:v>
      </x:c>
      <x:c r="Y24" s="56" t="n">
        <x:v>51</x:v>
      </x:c>
      <x:c r="Z24" s="56" t="n">
        <x:v>0</x:v>
      </x:c>
      <x:c r="AA24" s="60" t="n">
        <x:v>7.160938508832261e-15</x:v>
      </x:c>
      <x:c r="AB24" s="60" t="n">
        <x:v>1.3655743202889424e-14</x:v>
      </x:c>
      <x:c r="AC24" s="52" t="str">
        <x:v>The publication's common positive gene-count scalar is omitted.</x:v>
      </x:c>
      <x:c r="AD24" s="52" t="str">
        <x:v>A common positive scalar preserves ranks, signs, delta Z, and standardized exact contributions; raw-score units differ.</x:v>
      </x:c>
      <x:c r="AE24" s="53" t="str">
        <x:v>AMBER_DISCLOSE_RAW_UNIT_DIFFERENCE</x:v>
      </x:c>
    </x:row>
    <x:row r="25">
      <x:c r="A25" s="42" t="str">
        <x:v>SIG023</x:v>
      </x:c>
      <x:c r="B25" s="43" t="str">
        <x:v>Herberg Disease Risk Score</x:v>
      </x:c>
      <x:c r="C25" s="43" t="str">
        <x:v>GSE95233</x:v>
      </x:c>
      <x:c r="D25" s="43" t="str">
        <x:v>GPL570 Affymetrix U133 Plus 2.0</x:v>
      </x:c>
      <x:c r="E25" s="43" t="str">
        <x:v>Official series matrix</x:v>
      </x:c>
      <x:c r="F25" s="43" t="str">
        <x:v>Source RMA, log2; retained without cross-cohort renormalization</x:v>
      </x:c>
      <x:c r="G25" s="43" t="str">
        <x:v>Arithmetic mean of all retained unambiguous probes per canonical gene</x:v>
      </x:c>
      <x:c r="H25" s="43" t="str">
        <x:v>One fixed rule used at all time points</x:v>
      </x:c>
      <x:c r="I25" s="55" t="n">
        <x:v>2</x:v>
      </x:c>
      <x:c r="J25" s="55" t="n">
        <x:v>2</x:v>
      </x:c>
      <x:c r="K25" s="59" t="n">
        <x:v>100</x:v>
      </x:c>
      <x:c r="L25" s="55" t="n">
        <x:v>2</x:v>
      </x:c>
      <x:c r="M25" s="55" t="n">
        <x:v>0</x:v>
      </x:c>
      <x:c r="N25" s="43" t="n">
        <x:v>1</x:v>
      </x:c>
      <x:c r="O25" s="55" t="n">
        <x:v>124</x:v>
      </x:c>
      <x:c r="P25" s="55" t="n">
        <x:v>0</x:v>
      </x:c>
      <x:c r="Q25" s="55" t="n">
        <x:v>0</x:v>
      </x:c>
      <x:c r="R25" s="43" t="str">
        <x:v>herberg_two_gene_drs</x:v>
      </x:c>
      <x:c r="S25" s="55" t="n">
        <x:v>159</x:v>
      </x:c>
      <x:c r="T25" s="43" t="n">
        <x:v>1</x:v>
      </x:c>
      <x:c r="U25" s="59" t="n">
        <x:v>0</x:v>
      </x:c>
      <x:c r="V25" s="59" t="n">
        <x:v>0</x:v>
      </x:c>
      <x:c r="W25" s="55" t="n">
        <x:v>5</x:v>
      </x:c>
      <x:c r="X25" s="55" t="n">
        <x:v>0</x:v>
      </x:c>
      <x:c r="Y25" s="55" t="n">
        <x:v>51</x:v>
      </x:c>
      <x:c r="Z25" s="55" t="n">
        <x:v>0</x:v>
      </x:c>
      <x:c r="AA25" s="59" t="n">
        <x:v>8.881784197001252e-16</x:v>
      </x:c>
      <x:c r="AB25" s="59" t="n">
        <x:v>4.440892098500626e-16</x:v>
      </x:c>
      <x:c r="AC25" s="43" t="str">
        <x:v>No formula change.</x:v>
      </x:c>
      <x:c r="AD25" s="43" t="str">
        <x:v>Linear contrast; dataset-specific scale is removed only after patient-level change by baseline SD.</x:v>
      </x:c>
      <x:c r="AE25" s="44" t="str">
        <x:v>GREEN</x:v>
      </x:c>
    </x:row>
    <x:row r="26">
      <x:c r="A26" s="51" t="str">
        <x:v>SIG033</x:v>
      </x:c>
      <x:c r="B26" s="52" t="str">
        <x:v>Lin seven-gene mortality score</x:v>
      </x:c>
      <x:c r="C26" s="52" t="str">
        <x:v>GSE95233</x:v>
      </x:c>
      <x:c r="D26" s="52" t="str">
        <x:v>GPL570 Affymetrix U133 Plus 2.0</x:v>
      </x:c>
      <x:c r="E26" s="52" t="str">
        <x:v>Official series matrix</x:v>
      </x:c>
      <x:c r="F26" s="52" t="str">
        <x:v>Source RMA, log2; retained without cross-cohort renormalization</x:v>
      </x:c>
      <x:c r="G26" s="52" t="str">
        <x:v>Arithmetic mean of all retained unambiguous probes per canonical gene</x:v>
      </x:c>
      <x:c r="H26" s="52" t="str">
        <x:v>One fixed rule used at all time points</x:v>
      </x:c>
      <x:c r="I26" s="56" t="n">
        <x:v>7</x:v>
      </x:c>
      <x:c r="J26" s="56" t="n">
        <x:v>7</x:v>
      </x:c>
      <x:c r="K26" s="60" t="n">
        <x:v>100</x:v>
      </x:c>
      <x:c r="L26" s="56" t="n">
        <x:v>10</x:v>
      </x:c>
      <x:c r="M26" s="56" t="n">
        <x:v>3</x:v>
      </x:c>
      <x:c r="N26" s="52" t="n">
        <x:v>2</x:v>
      </x:c>
      <x:c r="O26" s="56" t="n">
        <x:v>124</x:v>
      </x:c>
      <x:c r="P26" s="56" t="n">
        <x:v>0</x:v>
      </x:c>
      <x:c r="Q26" s="56" t="n">
        <x:v>0</x:v>
      </x:c>
      <x:c r="R26" s="52" t="str">
        <x:v>lin7_mortality_score</x:v>
      </x:c>
      <x:c r="S26" s="56" t="n">
        <x:v>230</x:v>
      </x:c>
      <x:c r="T26" s="52" t="n">
        <x:v>1</x:v>
      </x:c>
      <x:c r="U26" s="60" t="n">
        <x:v>0</x:v>
      </x:c>
      <x:c r="V26" s="60" t="n">
        <x:v>0</x:v>
      </x:c>
      <x:c r="W26" s="56" t="n">
        <x:v>5</x:v>
      </x:c>
      <x:c r="X26" s="56" t="n">
        <x:v>0</x:v>
      </x:c>
      <x:c r="Y26" s="56" t="n">
        <x:v>51</x:v>
      </x:c>
      <x:c r="Z26" s="56" t="n">
        <x:v>0</x:v>
      </x:c>
      <x:c r="AA26" s="60" t="n">
        <x:v>4.912736883966318e-15</x:v>
      </x:c>
      <x:c r="AB26" s="60" t="n">
        <x:v>7.008282842946301e-15</x:v>
      </x:c>
      <x:c r="AC26" s="52" t="str">
        <x:v>No gene or coefficient change; no source-study intercept was reported or transported.</x:v>
      </x:c>
      <x:c r="AD26" s="52" t="str">
        <x:v>Fixed weighted sum; dataset-specific baseline SD standardizes longitudinal change.</x:v>
      </x:c>
      <x:c r="AE26" s="53" t="str">
        <x:v>GREEN</x:v>
      </x:c>
    </x:row>
    <x:row r="27">
      <x:c r="A27" s="42" t="str">
        <x:v>SIG034</x:v>
      </x:c>
      <x:c r="B27" s="43" t="str">
        <x:v>Severe-or-Mild score</x:v>
      </x:c>
      <x:c r="C27" s="43" t="str">
        <x:v>GSE95233</x:v>
      </x:c>
      <x:c r="D27" s="43" t="str">
        <x:v>GPL570 Affymetrix U133 Plus 2.0</x:v>
      </x:c>
      <x:c r="E27" s="43" t="str">
        <x:v>Official series matrix</x:v>
      </x:c>
      <x:c r="F27" s="43" t="str">
        <x:v>Source RMA, log2; retained without cross-cohort renormalization</x:v>
      </x:c>
      <x:c r="G27" s="43" t="str">
        <x:v>Arithmetic mean of all retained unambiguous probes per canonical gene</x:v>
      </x:c>
      <x:c r="H27" s="43" t="str">
        <x:v>One fixed rule used at all time points</x:v>
      </x:c>
      <x:c r="I27" s="55" t="n">
        <x:v>42</x:v>
      </x:c>
      <x:c r="J27" s="55" t="n">
        <x:v>42</x:v>
      </x:c>
      <x:c r="K27" s="59" t="n">
        <x:v>100</x:v>
      </x:c>
      <x:c r="L27" s="55" t="n">
        <x:v>79</x:v>
      </x:c>
      <x:c r="M27" s="55" t="n">
        <x:v>20</x:v>
      </x:c>
      <x:c r="N27" s="43" t="n">
        <x:v>7</x:v>
      </x:c>
      <x:c r="O27" s="55" t="n">
        <x:v>124</x:v>
      </x:c>
      <x:c r="P27" s="55" t="n">
        <x:v>0</x:v>
      </x:c>
      <x:c r="Q27" s="55" t="n">
        <x:v>0</x:v>
      </x:c>
      <x:c r="R27" s="43" t="str">
        <x:v>severe_or_mild_score</x:v>
      </x:c>
      <x:c r="S27" s="55" t="n">
        <x:v>244</x:v>
      </x:c>
      <x:c r="T27" s="43" t="n">
        <x:v>1</x:v>
      </x:c>
      <x:c r="U27" s="59" t="n">
        <x:v>0</x:v>
      </x:c>
      <x:c r="V27" s="59" t="n">
        <x:v>0</x:v>
      </x:c>
      <x:c r="W27" s="55" t="n">
        <x:v>5</x:v>
      </x:c>
      <x:c r="X27" s="55" t="n">
        <x:v>0</x:v>
      </x:c>
      <x:c r="Y27" s="55" t="n">
        <x:v>51</x:v>
      </x:c>
      <x:c r="Z27" s="55" t="n">
        <x:v>0</x:v>
      </x:c>
      <x:c r="AA27" s="59" t="n">
        <x:v>7.7021722333370235e-16</x:v>
      </x:c>
      <x:c r="AB27" s="59" t="n">
        <x:v>8.992806499463768e-15</x:v>
      </x:c>
      <x:c r="AC27" s="43" t="str">
        <x:v>No formula or module-membership change.</x:v>
      </x:c>
      <x:c r="AD27" s="43" t="str">
        <x:v>Exact published module ratio on each dataset's normalized expression scale; no clinical threshold transported.</x:v>
      </x:c>
      <x:c r="AE27" s="44" t="str">
        <x:v>GREEN</x:v>
      </x:c>
    </x:row>
    <x:row r="28">
      <x:c r="A28" s="51" t="str">
        <x:v>SIG001</x:v>
      </x:c>
      <x:c r="B28" s="52" t="str">
        <x:v>Sepsis MetaScore</x:v>
      </x:c>
      <x:c r="C28" s="52" t="str">
        <x:v>GSE8121</x:v>
      </x:c>
      <x:c r="D28" s="52" t="str">
        <x:v>GPL570 Affymetrix U133 Plus 2.0</x:v>
      </x:c>
      <x:c r="E28" s="52" t="str">
        <x:v>Official series matrix</x:v>
      </x:c>
      <x:c r="F28" s="52" t="str">
        <x:v>Source RMA-derived values normalized to the control median</x:v>
      </x:c>
      <x:c r="G28" s="52" t="str">
        <x:v>Arithmetic mean of all retained unambiguous probes per canonical gene</x:v>
      </x:c>
      <x:c r="H28" s="52" t="str">
        <x:v>Source scale is limited; one fixed rule used across Day 1 and Day 3</x:v>
      </x:c>
      <x:c r="I28" s="56" t="n">
        <x:v>11</x:v>
      </x:c>
      <x:c r="J28" s="56" t="n">
        <x:v>11</x:v>
      </x:c>
      <x:c r="K28" s="60" t="n">
        <x:v>100</x:v>
      </x:c>
      <x:c r="L28" s="56" t="n">
        <x:v>19</x:v>
      </x:c>
      <x:c r="M28" s="56" t="n">
        <x:v>5</x:v>
      </x:c>
      <x:c r="N28" s="52" t="n">
        <x:v>5</x:v>
      </x:c>
      <x:c r="O28" s="56" t="n">
        <x:v>75</x:v>
      </x:c>
      <x:c r="P28" s="56" t="n">
        <x:v>0</x:v>
      </x:c>
      <x:c r="Q28" s="56" t="n">
        <x:v>0</x:v>
      </x:c>
      <x:c r="R28" s="52" t="str">
        <x:v>sepsis_metascore_dgm</x:v>
      </x:c>
      <x:c r="S28" s="56" t="n">
        <x:v>108</x:v>
      </x:c>
      <x:c r="T28" s="52" t="n">
        <x:v>1</x:v>
      </x:c>
      <x:c r="U28" s="60" t="n">
        <x:v>0</x:v>
      </x:c>
      <x:c r="V28" s="60" t="n">
        <x:v>0</x:v>
      </x:c>
      <x:c r="W28" s="56" t="n">
        <x:v>5</x:v>
      </x:c>
      <x:c r="X28" s="56" t="n">
        <x:v>0</x:v>
      </x:c>
      <x:c r="Y28" s="56" t="n">
        <x:v>30</x:v>
      </x:c>
      <x:c r="Z28" s="56" t="n">
        <x:v>0</x:v>
      </x:c>
      <x:c r="AA28" s="60" t="n">
        <x:v>1.7208456881689926e-15</x:v>
      </x:c>
      <x:c r="AB28" s="60" t="n">
        <x:v>1.1934897514720433e-15</x:v>
      </x:c>
      <x:c r="AC28" s="52" t="str">
        <x:v>The published 5/6 coefficient on the down-regulated module is absent.</x:v>
      </x:c>
      <x:c r="AD28" s="52" t="str">
        <x:v>Not a common positive scalar; can change score ranks, longitudinal changes, and gene-contribution architecture.</x:v>
      </x:c>
      <x:c r="AE28" s="53" t="str">
        <x:v>RED_REOPEN_ANALYSIS</x:v>
      </x:c>
    </x:row>
    <x:row r="29">
      <x:c r="A29" s="42" t="str">
        <x:v>SIG002</x:v>
      </x:c>
      <x:c r="B29" s="43" t="str">
        <x:v>SeptiCyte LAB</x:v>
      </x:c>
      <x:c r="C29" s="43" t="str">
        <x:v>GSE8121</x:v>
      </x:c>
      <x:c r="D29" s="43" t="str">
        <x:v>GPL570 Affymetrix U133 Plus 2.0</x:v>
      </x:c>
      <x:c r="E29" s="43" t="str">
        <x:v>Official series matrix</x:v>
      </x:c>
      <x:c r="F29" s="43" t="str">
        <x:v>Source RMA-derived values normalized to the control median</x:v>
      </x:c>
      <x:c r="G29" s="43" t="str">
        <x:v>Arithmetic mean of all retained unambiguous probes per canonical gene</x:v>
      </x:c>
      <x:c r="H29" s="43" t="str">
        <x:v>Source scale is limited; one fixed rule used across Day 1 and Day 3</x:v>
      </x:c>
      <x:c r="I29" s="55" t="n">
        <x:v>4</x:v>
      </x:c>
      <x:c r="J29" s="55" t="n">
        <x:v>4</x:v>
      </x:c>
      <x:c r="K29" s="59" t="n">
        <x:v>100</x:v>
      </x:c>
      <x:c r="L29" s="55" t="n">
        <x:v>7</x:v>
      </x:c>
      <x:c r="M29" s="55" t="n">
        <x:v>1</x:v>
      </x:c>
      <x:c r="N29" s="43" t="n">
        <x:v>4</x:v>
      </x:c>
      <x:c r="O29" s="55" t="n">
        <x:v>75</x:v>
      </x:c>
      <x:c r="P29" s="55" t="n">
        <x:v>0</x:v>
      </x:c>
      <x:c r="Q29" s="55" t="n">
        <x:v>0</x:v>
      </x:c>
      <x:c r="R29" s="43" t="str">
        <x:v>septicyte_lab_microarray</x:v>
      </x:c>
      <x:c r="S29" s="55" t="n">
        <x:v>122</x:v>
      </x:c>
      <x:c r="T29" s="43" t="n">
        <x:v>1</x:v>
      </x:c>
      <x:c r="U29" s="59" t="n">
        <x:v>0</x:v>
      </x:c>
      <x:c r="V29" s="59" t="n">
        <x:v>0</x:v>
      </x:c>
      <x:c r="W29" s="55" t="n">
        <x:v>5</x:v>
      </x:c>
      <x:c r="X29" s="55" t="n">
        <x:v>0</x:v>
      </x:c>
      <x:c r="Y29" s="55" t="n">
        <x:v>30</x:v>
      </x:c>
      <x:c r="Z29" s="55" t="n">
        <x:v>0</x:v>
      </x:c>
      <x:c r="AA29" s="59" t="n">
        <x:v>8.881784197001252e-16</x:v>
      </x:c>
      <x:c r="AB29" s="59" t="n">
        <x:v>6.661338147750939e-16</x:v>
      </x:c>
      <x:c r="AC29" s="43" t="str">
        <x:v>No coefficient or gene difference; public normalized transcriptomic values are substituted for assay-specific log intensity.</x:v>
      </x:c>
      <x:c r="AD29" s="43" t="str">
        <x:v>Exact linear contrast on log-scale microarrays; VST RNA-seq is a platform-transfer approximation and is not a clinical assay score.</x:v>
      </x:c>
      <x:c r="AE29" s="44" t="str">
        <x:v>AMBER_DISCLOSE_PLATFORM_TRANSFER</x:v>
      </x:c>
    </x:row>
    <x:row r="30">
      <x:c r="A30" s="51" t="str">
        <x:v>SIG003</x:v>
      </x:c>
      <x:c r="B30" s="52" t="str">
        <x:v>FAIM3:PLAC8 ratio</x:v>
      </x:c>
      <x:c r="C30" s="52" t="str">
        <x:v>GSE8121</x:v>
      </x:c>
      <x:c r="D30" s="52" t="str">
        <x:v>GPL570 Affymetrix U133 Plus 2.0</x:v>
      </x:c>
      <x:c r="E30" s="52" t="str">
        <x:v>Official series matrix</x:v>
      </x:c>
      <x:c r="F30" s="52" t="str">
        <x:v>Source RMA-derived values normalized to the control median</x:v>
      </x:c>
      <x:c r="G30" s="52" t="str">
        <x:v>Arithmetic mean of all retained unambiguous probes per canonical gene</x:v>
      </x:c>
      <x:c r="H30" s="52" t="str">
        <x:v>Source scale is limited; one fixed rule used across Day 1 and Day 3</x:v>
      </x:c>
      <x:c r="I30" s="56" t="n">
        <x:v>2</x:v>
      </x:c>
      <x:c r="J30" s="56" t="n">
        <x:v>2</x:v>
      </x:c>
      <x:c r="K30" s="60" t="n">
        <x:v>100</x:v>
      </x:c>
      <x:c r="L30" s="56" t="n">
        <x:v>3</x:v>
      </x:c>
      <x:c r="M30" s="56" t="n">
        <x:v>1</x:v>
      </x:c>
      <x:c r="N30" s="52" t="n">
        <x:v>2</x:v>
      </x:c>
      <x:c r="O30" s="56" t="n">
        <x:v>75</x:v>
      </x:c>
      <x:c r="P30" s="56" t="n">
        <x:v>0</x:v>
      </x:c>
      <x:c r="Q30" s="56" t="n">
        <x:v>0</x:v>
      </x:c>
      <x:c r="R30" s="52" t="str">
        <x:v>faim3_plac8_ratio</x:v>
      </x:c>
      <x:c r="S30" s="56" t="n">
        <x:v>133</x:v>
      </x:c>
      <x:c r="T30" s="52" t="n">
        <x:v>-1</x:v>
      </x:c>
      <x:c r="U30" s="60" t="n">
        <x:v>0</x:v>
      </x:c>
      <x:c r="V30" s="60" t="n">
        <x:v>0</x:v>
      </x:c>
      <x:c r="W30" s="56" t="n">
        <x:v>5</x:v>
      </x:c>
      <x:c r="X30" s="56" t="n">
        <x:v>0</x:v>
      </x:c>
      <x:c r="Y30" s="56" t="n">
        <x:v>30</x:v>
      </x:c>
      <x:c r="Z30" s="56" t="n">
        <x:v>0</x:v>
      </x:c>
      <x:c r="AA30" s="60" t="n">
        <x:v>2.220446049250313e-16</x:v>
      </x:c>
      <x:c r="AB30" s="60" t="n">
        <x:v>8.881784197001252e-16</x:v>
      </x:c>
      <x:c r="AC30" s="52" t="str">
        <x:v>No formula change; study-specific expression preprocessing and a harmonizing direction multiplier are explicit.</x:v>
      </x:c>
      <x:c r="AD30" s="52" t="str">
        <x:v>Direction inversion changes sign only and is applied once; thresholds from the diagnostic assay are not transported.</x:v>
      </x:c>
      <x:c r="AE30" s="53" t="str">
        <x:v>AMBER_DISCLOSE_PLATFORM_TRANSFER</x:v>
      </x:c>
    </x:row>
    <x:row r="31">
      <x:c r="A31" s="42" t="str">
        <x:v>SIG004</x:v>
      </x:c>
      <x:c r="B31" s="43" t="str">
        <x:v>sNIP</x:v>
      </x:c>
      <x:c r="C31" s="43" t="str">
        <x:v>GSE8121</x:v>
      </x:c>
      <x:c r="D31" s="43" t="str">
        <x:v>GPL570 Affymetrix U133 Plus 2.0</x:v>
      </x:c>
      <x:c r="E31" s="43" t="str">
        <x:v>Official series matrix</x:v>
      </x:c>
      <x:c r="F31" s="43" t="str">
        <x:v>Source RMA-derived values normalized to the control median</x:v>
      </x:c>
      <x:c r="G31" s="43" t="str">
        <x:v>Arithmetic mean of all retained unambiguous probes per canonical gene</x:v>
      </x:c>
      <x:c r="H31" s="43" t="str">
        <x:v>Source scale is limited; one fixed rule used across Day 1 and Day 3</x:v>
      </x:c>
      <x:c r="I31" s="55" t="n">
        <x:v>3</x:v>
      </x:c>
      <x:c r="J31" s="55" t="n">
        <x:v>3</x:v>
      </x:c>
      <x:c r="K31" s="59" t="n">
        <x:v>100</x:v>
      </x:c>
      <x:c r="L31" s="55" t="n">
        <x:v>8</x:v>
      </x:c>
      <x:c r="M31" s="55" t="n">
        <x:v>2</x:v>
      </x:c>
      <x:c r="N31" s="43" t="n">
        <x:v>5</x:v>
      </x:c>
      <x:c r="O31" s="55" t="n">
        <x:v>75</x:v>
      </x:c>
      <x:c r="P31" s="55" t="n">
        <x:v>0</x:v>
      </x:c>
      <x:c r="Q31" s="55" t="n">
        <x:v>0</x:v>
      </x:c>
      <x:c r="R31" s="43" t="str">
        <x:v>snip_score</x:v>
      </x:c>
      <x:c r="S31" s="55" t="n">
        <x:v>149</x:v>
      </x:c>
      <x:c r="T31" s="43" t="n">
        <x:v>1</x:v>
      </x:c>
      <x:c r="U31" s="59" t="n">
        <x:v>0</x:v>
      </x:c>
      <x:c r="V31" s="59" t="n">
        <x:v>0</x:v>
      </x:c>
      <x:c r="W31" s="55" t="n">
        <x:v>5</x:v>
      </x:c>
      <x:c r="X31" s="55" t="n">
        <x:v>0</x:v>
      </x:c>
      <x:c r="Y31" s="55" t="n">
        <x:v>30</x:v>
      </x:c>
      <x:c r="Z31" s="55" t="n">
        <x:v>0</x:v>
      </x:c>
      <x:c r="AA31" s="59" t="n">
        <x:v>8.881784197001252e-16</x:v>
      </x:c>
      <x:c r="AB31" s="59" t="n">
        <x:v>1.7763568394002505e-15</x:v>
      </x:c>
      <x:c r="AC31" s="43" t="str">
        <x:v>No formula change; public transcriptome expression replaces assay-specific HPRT1-normalized qRT-PCR measurements.</x:v>
      </x:c>
      <x:c r="AD31" s="43" t="str">
        <x:v>Cross-platform measurement audit only; the published clinical threshold is not transported.</x:v>
      </x:c>
      <x:c r="AE31" s="44" t="str">
        <x:v>AMBER_DISCLOSE_PLATFORM_TRANSFER</x:v>
      </x:c>
    </x:row>
    <x:row r="32">
      <x:c r="A32" s="51" t="str">
        <x:v>SIG022</x:v>
      </x:c>
      <x:c r="B32" s="52" t="str">
        <x:v>Bacterial/Viral MetaScore</x:v>
      </x:c>
      <x:c r="C32" s="52" t="str">
        <x:v>GSE8121</x:v>
      </x:c>
      <x:c r="D32" s="52" t="str">
        <x:v>GPL570 Affymetrix U133 Plus 2.0</x:v>
      </x:c>
      <x:c r="E32" s="52" t="str">
        <x:v>Official series matrix</x:v>
      </x:c>
      <x:c r="F32" s="52" t="str">
        <x:v>Source RMA-derived values normalized to the control median</x:v>
      </x:c>
      <x:c r="G32" s="52" t="str">
        <x:v>Arithmetic mean of all retained unambiguous probes per canonical gene</x:v>
      </x:c>
      <x:c r="H32" s="52" t="str">
        <x:v>Source scale is limited; one fixed rule used across Day 1 and Day 3</x:v>
      </x:c>
      <x:c r="I32" s="56" t="n">
        <x:v>7</x:v>
      </x:c>
      <x:c r="J32" s="56" t="n">
        <x:v>7</x:v>
      </x:c>
      <x:c r="K32" s="60" t="n">
        <x:v>100</x:v>
      </x:c>
      <x:c r="L32" s="56" t="n">
        <x:v>16</x:v>
      </x:c>
      <x:c r="M32" s="56" t="n">
        <x:v>4</x:v>
      </x:c>
      <x:c r="N32" s="52" t="n">
        <x:v>5</x:v>
      </x:c>
      <x:c r="O32" s="56" t="n">
        <x:v>75</x:v>
      </x:c>
      <x:c r="P32" s="56" t="n">
        <x:v>0</x:v>
      </x:c>
      <x:c r="Q32" s="56" t="n">
        <x:v>0</x:v>
      </x:c>
      <x:c r="R32" s="52" t="str">
        <x:v>sweeney_bv_ordering_score</x:v>
      </x:c>
      <x:c r="S32" s="56" t="n">
        <x:v>171</x:v>
      </x:c>
      <x:c r="T32" s="52" t="n">
        <x:v>1</x:v>
      </x:c>
      <x:c r="U32" s="60" t="n">
        <x:v>0</x:v>
      </x:c>
      <x:c r="V32" s="60" t="n">
        <x:v>0</x:v>
      </x:c>
      <x:c r="W32" s="56" t="n">
        <x:v>5</x:v>
      </x:c>
      <x:c r="X32" s="56" t="n">
        <x:v>0</x:v>
      </x:c>
      <x:c r="Y32" s="56" t="n">
        <x:v>30</x:v>
      </x:c>
      <x:c r="Z32" s="56" t="n">
        <x:v>0</x:v>
      </x:c>
      <x:c r="AA32" s="60" t="n">
        <x:v>1.1102230246251563e-15</x:v>
      </x:c>
      <x:c r="AB32" s="60" t="n">
        <x:v>7.771561172376098e-16</x:v>
      </x:c>
      <x:c r="AC32" s="52" t="str">
        <x:v>The publication's common positive gene-count scalar is omitted.</x:v>
      </x:c>
      <x:c r="AD32" s="52" t="str">
        <x:v>A common positive scalar preserves ranks, signs, delta Z, and standardized exact contributions; raw-score units differ.</x:v>
      </x:c>
      <x:c r="AE32" s="53" t="str">
        <x:v>AMBER_DISCLOSE_RAW_UNIT_DIFFERENCE</x:v>
      </x:c>
    </x:row>
    <x:row r="33">
      <x:c r="A33" s="42" t="str">
        <x:v>SIG023</x:v>
      </x:c>
      <x:c r="B33" s="43" t="str">
        <x:v>Herberg Disease Risk Score</x:v>
      </x:c>
      <x:c r="C33" s="43" t="str">
        <x:v>GSE8121</x:v>
      </x:c>
      <x:c r="D33" s="43" t="str">
        <x:v>GPL570 Affymetrix U133 Plus 2.0</x:v>
      </x:c>
      <x:c r="E33" s="43" t="str">
        <x:v>Official series matrix</x:v>
      </x:c>
      <x:c r="F33" s="43" t="str">
        <x:v>Source RMA-derived values normalized to the control median</x:v>
      </x:c>
      <x:c r="G33" s="43" t="str">
        <x:v>Arithmetic mean of all retained unambiguous probes per canonical gene</x:v>
      </x:c>
      <x:c r="H33" s="43" t="str">
        <x:v>Source scale is limited; one fixed rule used across Day 1 and Day 3</x:v>
      </x:c>
      <x:c r="I33" s="55" t="n">
        <x:v>2</x:v>
      </x:c>
      <x:c r="J33" s="55" t="n">
        <x:v>2</x:v>
      </x:c>
      <x:c r="K33" s="59" t="n">
        <x:v>100</x:v>
      </x:c>
      <x:c r="L33" s="55" t="n">
        <x:v>2</x:v>
      </x:c>
      <x:c r="M33" s="55" t="n">
        <x:v>0</x:v>
      </x:c>
      <x:c r="N33" s="43" t="n">
        <x:v>1</x:v>
      </x:c>
      <x:c r="O33" s="55" t="n">
        <x:v>75</x:v>
      </x:c>
      <x:c r="P33" s="55" t="n">
        <x:v>0</x:v>
      </x:c>
      <x:c r="Q33" s="55" t="n">
        <x:v>0</x:v>
      </x:c>
      <x:c r="R33" s="43" t="str">
        <x:v>herberg_two_gene_drs</x:v>
      </x:c>
      <x:c r="S33" s="55" t="n">
        <x:v>159</x:v>
      </x:c>
      <x:c r="T33" s="43" t="n">
        <x:v>1</x:v>
      </x:c>
      <x:c r="U33" s="59" t="n">
        <x:v>0</x:v>
      </x:c>
      <x:c r="V33" s="59" t="n">
        <x:v>0</x:v>
      </x:c>
      <x:c r="W33" s="55" t="n">
        <x:v>5</x:v>
      </x:c>
      <x:c r="X33" s="55" t="n">
        <x:v>0</x:v>
      </x:c>
      <x:c r="Y33" s="55" t="n">
        <x:v>30</x:v>
      </x:c>
      <x:c r="Z33" s="55" t="n">
        <x:v>0</x:v>
      </x:c>
      <x:c r="AA33" s="59" t="n">
        <x:v>1.7763568394002505e-15</x:v>
      </x:c>
      <x:c r="AB33" s="59" t="n">
        <x:v>3.3306690738754696e-16</x:v>
      </x:c>
      <x:c r="AC33" s="43" t="str">
        <x:v>No formula change.</x:v>
      </x:c>
      <x:c r="AD33" s="43" t="str">
        <x:v>Linear contrast; dataset-specific scale is removed only after patient-level change by baseline SD.</x:v>
      </x:c>
      <x:c r="AE33" s="44" t="str">
        <x:v>GREEN</x:v>
      </x:c>
    </x:row>
    <x:row r="34">
      <x:c r="A34" s="51" t="str">
        <x:v>SIG033</x:v>
      </x:c>
      <x:c r="B34" s="52" t="str">
        <x:v>Lin seven-gene mortality score</x:v>
      </x:c>
      <x:c r="C34" s="52" t="str">
        <x:v>GSE8121</x:v>
      </x:c>
      <x:c r="D34" s="52" t="str">
        <x:v>GPL570 Affymetrix U133 Plus 2.0</x:v>
      </x:c>
      <x:c r="E34" s="52" t="str">
        <x:v>Official series matrix</x:v>
      </x:c>
      <x:c r="F34" s="52" t="str">
        <x:v>Source RMA-derived values normalized to the control median</x:v>
      </x:c>
      <x:c r="G34" s="52" t="str">
        <x:v>Arithmetic mean of all retained unambiguous probes per canonical gene</x:v>
      </x:c>
      <x:c r="H34" s="52" t="str">
        <x:v>Source scale is limited; one fixed rule used across Day 1 and Day 3</x:v>
      </x:c>
      <x:c r="I34" s="56" t="n">
        <x:v>7</x:v>
      </x:c>
      <x:c r="J34" s="56" t="n">
        <x:v>7</x:v>
      </x:c>
      <x:c r="K34" s="60" t="n">
        <x:v>100</x:v>
      </x:c>
      <x:c r="L34" s="56" t="n">
        <x:v>10</x:v>
      </x:c>
      <x:c r="M34" s="56" t="n">
        <x:v>3</x:v>
      </x:c>
      <x:c r="N34" s="52" t="n">
        <x:v>2</x:v>
      </x:c>
      <x:c r="O34" s="56" t="n">
        <x:v>75</x:v>
      </x:c>
      <x:c r="P34" s="56" t="n">
        <x:v>0</x:v>
      </x:c>
      <x:c r="Q34" s="56" t="n">
        <x:v>0</x:v>
      </x:c>
      <x:c r="R34" s="52" t="str">
        <x:v>lin7_mortality_score</x:v>
      </x:c>
      <x:c r="S34" s="56" t="n">
        <x:v>230</x:v>
      </x:c>
      <x:c r="T34" s="52" t="n">
        <x:v>1</x:v>
      </x:c>
      <x:c r="U34" s="60" t="n">
        <x:v>0</x:v>
      </x:c>
      <x:c r="V34" s="60" t="n">
        <x:v>0</x:v>
      </x:c>
      <x:c r="W34" s="56" t="n">
        <x:v>5</x:v>
      </x:c>
      <x:c r="X34" s="56" t="n">
        <x:v>0</x:v>
      </x:c>
      <x:c r="Y34" s="56" t="n">
        <x:v>30</x:v>
      </x:c>
      <x:c r="Z34" s="56" t="n">
        <x:v>0</x:v>
      </x:c>
      <x:c r="AA34" s="60" t="n">
        <x:v>1.4432899320127037e-15</x:v>
      </x:c>
      <x:c r="AB34" s="60" t="n">
        <x:v>3.05311331771918e-16</x:v>
      </x:c>
      <x:c r="AC34" s="52" t="str">
        <x:v>No gene or coefficient change; no source-study intercept was reported or transported.</x:v>
      </x:c>
      <x:c r="AD34" s="52" t="str">
        <x:v>Fixed weighted sum; dataset-specific baseline SD standardizes longitudinal change.</x:v>
      </x:c>
      <x:c r="AE34" s="53" t="str">
        <x:v>GREEN</x:v>
      </x:c>
    </x:row>
    <x:row r="35">
      <x:c r="A35" s="42" t="str">
        <x:v>SIG034</x:v>
      </x:c>
      <x:c r="B35" s="43" t="str">
        <x:v>Severe-or-Mild score</x:v>
      </x:c>
      <x:c r="C35" s="43" t="str">
        <x:v>GSE8121</x:v>
      </x:c>
      <x:c r="D35" s="43" t="str">
        <x:v>GPL570 Affymetrix U133 Plus 2.0</x:v>
      </x:c>
      <x:c r="E35" s="43" t="str">
        <x:v>Official series matrix</x:v>
      </x:c>
      <x:c r="F35" s="43" t="str">
        <x:v>Source RMA-derived values normalized to the control median</x:v>
      </x:c>
      <x:c r="G35" s="43" t="str">
        <x:v>Arithmetic mean of all retained unambiguous probes per canonical gene</x:v>
      </x:c>
      <x:c r="H35" s="43" t="str">
        <x:v>Source scale is limited; one fixed rule used across Day 1 and Day 3</x:v>
      </x:c>
      <x:c r="I35" s="55" t="n">
        <x:v>42</x:v>
      </x:c>
      <x:c r="J35" s="55" t="n">
        <x:v>42</x:v>
      </x:c>
      <x:c r="K35" s="59" t="n">
        <x:v>100</x:v>
      </x:c>
      <x:c r="L35" s="55" t="n">
        <x:v>79</x:v>
      </x:c>
      <x:c r="M35" s="55" t="n">
        <x:v>20</x:v>
      </x:c>
      <x:c r="N35" s="43" t="n">
        <x:v>7</x:v>
      </x:c>
      <x:c r="O35" s="55" t="n">
        <x:v>75</x:v>
      </x:c>
      <x:c r="P35" s="55" t="n">
        <x:v>0</x:v>
      </x:c>
      <x:c r="Q35" s="55" t="n">
        <x:v>0</x:v>
      </x:c>
      <x:c r="R35" s="43" t="str">
        <x:v>severe_or_mild_score</x:v>
      </x:c>
      <x:c r="S35" s="55" t="n">
        <x:v>244</x:v>
      </x:c>
      <x:c r="T35" s="43" t="n">
        <x:v>1</x:v>
      </x:c>
      <x:c r="U35" s="59" t="n">
        <x:v>0</x:v>
      </x:c>
      <x:c r="V35" s="59" t="n">
        <x:v>0</x:v>
      </x:c>
      <x:c r="W35" s="55" t="n">
        <x:v>5</x:v>
      </x:c>
      <x:c r="X35" s="55" t="n">
        <x:v>0</x:v>
      </x:c>
      <x:c r="Y35" s="55" t="n">
        <x:v>30</x:v>
      </x:c>
      <x:c r="Z35" s="55" t="n">
        <x:v>0</x:v>
      </x:c>
      <x:c r="AA35" s="59" t="n">
        <x:v>3.108624468950439e-15</x:v>
      </x:c>
      <x:c r="AB35" s="59" t="n">
        <x:v>1.3322676295501878e-15</x:v>
      </x:c>
      <x:c r="AC35" s="43" t="str">
        <x:v>No formula or module-membership change.</x:v>
      </x:c>
      <x:c r="AD35" s="43" t="str">
        <x:v>Exact published module ratio on each dataset's normalized expression scale; no clinical threshold transported.</x:v>
      </x:c>
      <x:c r="AE35" s="44" t="str">
        <x:v>GREEN</x:v>
      </x:c>
    </x:row>
    <x:row r="36">
      <x:c r="A36" s="51" t="str">
        <x:v>SIG001</x:v>
      </x:c>
      <x:c r="B36" s="52" t="str">
        <x:v>Sepsis MetaScore</x:v>
      </x:c>
      <x:c r="C36" s="52" t="str">
        <x:v>GSE54514</x:v>
      </x:c>
      <x:c r="D36" s="52" t="str">
        <x:v>GPL6947 Illumina HumanHT-12 v3</x:v>
      </x:c>
      <x:c r="E36" s="52" t="str">
        <x:v>Official series matrix</x:v>
      </x:c>
      <x:c r="F36" s="52" t="str">
        <x:v>Source GenomeStudio processing, log2, quantile-normalized values retained</x:v>
      </x:c>
      <x:c r="G36" s="52" t="str">
        <x:v>Arithmetic mean of all retained unambiguous probes per canonical gene</x:v>
      </x:c>
      <x:c r="H36" s="52" t="str">
        <x:v>Official sample identity route passed 163/163 checks</x:v>
      </x:c>
      <x:c r="I36" s="56" t="n">
        <x:v>11</x:v>
      </x:c>
      <x:c r="J36" s="56" t="n">
        <x:v>11</x:v>
      </x:c>
      <x:c r="K36" s="60" t="n">
        <x:v>100</x:v>
      </x:c>
      <x:c r="L36" s="56" t="n">
        <x:v>14</x:v>
      </x:c>
      <x:c r="M36" s="56" t="n">
        <x:v>2</x:v>
      </x:c>
      <x:c r="N36" s="52" t="n">
        <x:v>3</x:v>
      </x:c>
      <x:c r="O36" s="56" t="n">
        <x:v>163</x:v>
      </x:c>
      <x:c r="P36" s="56" t="n">
        <x:v>0</x:v>
      </x:c>
      <x:c r="Q36" s="56" t="n">
        <x:v>0</x:v>
      </x:c>
      <x:c r="R36" s="52" t="str">
        <x:v>sepsis_metascore_dgm</x:v>
      </x:c>
      <x:c r="S36" s="56" t="n">
        <x:v>108</x:v>
      </x:c>
      <x:c r="T36" s="52" t="n">
        <x:v>1</x:v>
      </x:c>
      <x:c r="U36" s="60" t="n">
        <x:v>0</x:v>
      </x:c>
      <x:c r="V36" s="60" t="n">
        <x:v>0</x:v>
      </x:c>
      <x:c r="W36" s="56" t="n">
        <x:v>5</x:v>
      </x:c>
      <x:c r="X36" s="56" t="n">
        <x:v>0</x:v>
      </x:c>
      <x:c r="Y36" s="56" t="n">
        <x:v>91</x:v>
      </x:c>
      <x:c r="Z36" s="56" t="n">
        <x:v>0</x:v>
      </x:c>
      <x:c r="AA36" s="60" t="n">
        <x:v>7.549516567451064e-15</x:v>
      </x:c>
      <x:c r="AB36" s="60" t="n">
        <x:v>9.325873406851317e-15</x:v>
      </x:c>
      <x:c r="AC36" s="52" t="str">
        <x:v>The published 5/6 coefficient on the down-regulated module is absent.</x:v>
      </x:c>
      <x:c r="AD36" s="52" t="str">
        <x:v>Not a common positive scalar; can change score ranks, longitudinal changes, and gene-contribution architecture.</x:v>
      </x:c>
      <x:c r="AE36" s="53" t="str">
        <x:v>RED_REOPEN_ANALYSIS</x:v>
      </x:c>
    </x:row>
    <x:row r="37">
      <x:c r="A37" s="42" t="str">
        <x:v>SIG002</x:v>
      </x:c>
      <x:c r="B37" s="43" t="str">
        <x:v>SeptiCyte LAB</x:v>
      </x:c>
      <x:c r="C37" s="43" t="str">
        <x:v>GSE54514</x:v>
      </x:c>
      <x:c r="D37" s="43" t="str">
        <x:v>GPL6947 Illumina HumanHT-12 v3</x:v>
      </x:c>
      <x:c r="E37" s="43" t="str">
        <x:v>Official series matrix</x:v>
      </x:c>
      <x:c r="F37" s="43" t="str">
        <x:v>Source GenomeStudio processing, log2, quantile-normalized values retained</x:v>
      </x:c>
      <x:c r="G37" s="43" t="str">
        <x:v>Arithmetic mean of all retained unambiguous probes per canonical gene</x:v>
      </x:c>
      <x:c r="H37" s="43" t="str">
        <x:v>Official sample identity route passed 163/163 checks</x:v>
      </x:c>
      <x:c r="I37" s="55" t="n">
        <x:v>4</x:v>
      </x:c>
      <x:c r="J37" s="55" t="n">
        <x:v>4</x:v>
      </x:c>
      <x:c r="K37" s="59" t="n">
        <x:v>100</x:v>
      </x:c>
      <x:c r="L37" s="55" t="n">
        <x:v>5</x:v>
      </x:c>
      <x:c r="M37" s="55" t="n">
        <x:v>1</x:v>
      </x:c>
      <x:c r="N37" s="43" t="n">
        <x:v>2</x:v>
      </x:c>
      <x:c r="O37" s="55" t="n">
        <x:v>163</x:v>
      </x:c>
      <x:c r="P37" s="55" t="n">
        <x:v>0</x:v>
      </x:c>
      <x:c r="Q37" s="55" t="n">
        <x:v>0</x:v>
      </x:c>
      <x:c r="R37" s="43" t="str">
        <x:v>septicyte_lab_microarray</x:v>
      </x:c>
      <x:c r="S37" s="55" t="n">
        <x:v>122</x:v>
      </x:c>
      <x:c r="T37" s="43" t="n">
        <x:v>1</x:v>
      </x:c>
      <x:c r="U37" s="59" t="n">
        <x:v>0</x:v>
      </x:c>
      <x:c r="V37" s="59" t="n">
        <x:v>0</x:v>
      </x:c>
      <x:c r="W37" s="55" t="n">
        <x:v>5</x:v>
      </x:c>
      <x:c r="X37" s="55" t="n">
        <x:v>0</x:v>
      </x:c>
      <x:c r="Y37" s="55" t="n">
        <x:v>91</x:v>
      </x:c>
      <x:c r="Z37" s="55" t="n">
        <x:v>0</x:v>
      </x:c>
      <x:c r="AA37" s="59" t="n">
        <x:v>4.440892098500626e-15</x:v>
      </x:c>
      <x:c r="AB37" s="59" t="n">
        <x:v>3.552713678800501e-15</x:v>
      </x:c>
      <x:c r="AC37" s="43" t="str">
        <x:v>No coefficient or gene difference; public normalized transcriptomic values are substituted for assay-specific log intensity.</x:v>
      </x:c>
      <x:c r="AD37" s="43" t="str">
        <x:v>Exact linear contrast on log-scale microarrays; VST RNA-seq is a platform-transfer approximation and is not a clinical assay score.</x:v>
      </x:c>
      <x:c r="AE37" s="44" t="str">
        <x:v>AMBER_DISCLOSE_PLATFORM_TRANSFER</x:v>
      </x:c>
    </x:row>
    <x:row r="38">
      <x:c r="A38" s="51" t="str">
        <x:v>SIG003</x:v>
      </x:c>
      <x:c r="B38" s="52" t="str">
        <x:v>FAIM3:PLAC8 ratio</x:v>
      </x:c>
      <x:c r="C38" s="52" t="str">
        <x:v>GSE54514</x:v>
      </x:c>
      <x:c r="D38" s="52" t="str">
        <x:v>GPL6947 Illumina HumanHT-12 v3</x:v>
      </x:c>
      <x:c r="E38" s="52" t="str">
        <x:v>Official series matrix</x:v>
      </x:c>
      <x:c r="F38" s="52" t="str">
        <x:v>Source GenomeStudio processing, log2, quantile-normalized values retained</x:v>
      </x:c>
      <x:c r="G38" s="52" t="str">
        <x:v>Arithmetic mean of all retained unambiguous probes per canonical gene</x:v>
      </x:c>
      <x:c r="H38" s="52" t="str">
        <x:v>Official sample identity route passed 163/163 checks</x:v>
      </x:c>
      <x:c r="I38" s="56" t="n">
        <x:v>2</x:v>
      </x:c>
      <x:c r="J38" s="56" t="n">
        <x:v>2</x:v>
      </x:c>
      <x:c r="K38" s="60" t="n">
        <x:v>100</x:v>
      </x:c>
      <x:c r="L38" s="56" t="n">
        <x:v>3</x:v>
      </x:c>
      <x:c r="M38" s="56" t="n">
        <x:v>1</x:v>
      </x:c>
      <x:c r="N38" s="52" t="n">
        <x:v>2</x:v>
      </x:c>
      <x:c r="O38" s="56" t="n">
        <x:v>163</x:v>
      </x:c>
      <x:c r="P38" s="56" t="n">
        <x:v>0</x:v>
      </x:c>
      <x:c r="Q38" s="56" t="n">
        <x:v>0</x:v>
      </x:c>
      <x:c r="R38" s="52" t="str">
        <x:v>faim3_plac8_ratio</x:v>
      </x:c>
      <x:c r="S38" s="56" t="n">
        <x:v>133</x:v>
      </x:c>
      <x:c r="T38" s="52" t="n">
        <x:v>-1</x:v>
      </x:c>
      <x:c r="U38" s="60" t="n">
        <x:v>0</x:v>
      </x:c>
      <x:c r="V38" s="60" t="n">
        <x:v>0</x:v>
      </x:c>
      <x:c r="W38" s="56" t="n">
        <x:v>5</x:v>
      </x:c>
      <x:c r="X38" s="56" t="n">
        <x:v>0</x:v>
      </x:c>
      <x:c r="Y38" s="56" t="n">
        <x:v>91</x:v>
      </x:c>
      <x:c r="Z38" s="56" t="n">
        <x:v>0</x:v>
      </x:c>
      <x:c r="AA38" s="60" t="n">
        <x:v>0</x:v>
      </x:c>
      <x:c r="AB38" s="60" t="n">
        <x:v>0</x:v>
      </x:c>
      <x:c r="AC38" s="52" t="str">
        <x:v>No formula change; study-specific expression preprocessing and a harmonizing direction multiplier are explicit.</x:v>
      </x:c>
      <x:c r="AD38" s="52" t="str">
        <x:v>Direction inversion changes sign only and is applied once; thresholds from the diagnostic assay are not transported.</x:v>
      </x:c>
      <x:c r="AE38" s="53" t="str">
        <x:v>AMBER_DISCLOSE_PLATFORM_TRANSFER</x:v>
      </x:c>
    </x:row>
    <x:row r="39">
      <x:c r="A39" s="42" t="str">
        <x:v>SIG004</x:v>
      </x:c>
      <x:c r="B39" s="43" t="str">
        <x:v>sNIP</x:v>
      </x:c>
      <x:c r="C39" s="43" t="str">
        <x:v>GSE54514</x:v>
      </x:c>
      <x:c r="D39" s="43" t="str">
        <x:v>GPL6947 Illumina HumanHT-12 v3</x:v>
      </x:c>
      <x:c r="E39" s="43" t="str">
        <x:v>Official series matrix</x:v>
      </x:c>
      <x:c r="F39" s="43" t="str">
        <x:v>Source GenomeStudio processing, log2, quantile-normalized values retained</x:v>
      </x:c>
      <x:c r="G39" s="43" t="str">
        <x:v>Arithmetic mean of all retained unambiguous probes per canonical gene</x:v>
      </x:c>
      <x:c r="H39" s="43" t="str">
        <x:v>Official sample identity route passed 163/163 checks</x:v>
      </x:c>
      <x:c r="I39" s="55" t="n">
        <x:v>3</x:v>
      </x:c>
      <x:c r="J39" s="55" t="n">
        <x:v>3</x:v>
      </x:c>
      <x:c r="K39" s="59" t="n">
        <x:v>100</x:v>
      </x:c>
      <x:c r="L39" s="55" t="n">
        <x:v>5</x:v>
      </x:c>
      <x:c r="M39" s="55" t="n">
        <x:v>2</x:v>
      </x:c>
      <x:c r="N39" s="43" t="n">
        <x:v>2</x:v>
      </x:c>
      <x:c r="O39" s="55" t="n">
        <x:v>163</x:v>
      </x:c>
      <x:c r="P39" s="55" t="n">
        <x:v>0</x:v>
      </x:c>
      <x:c r="Q39" s="55" t="n">
        <x:v>0</x:v>
      </x:c>
      <x:c r="R39" s="43" t="str">
        <x:v>snip_score</x:v>
      </x:c>
      <x:c r="S39" s="55" t="n">
        <x:v>149</x:v>
      </x:c>
      <x:c r="T39" s="43" t="n">
        <x:v>1</x:v>
      </x:c>
      <x:c r="U39" s="59" t="n">
        <x:v>0</x:v>
      </x:c>
      <x:c r="V39" s="59" t="n">
        <x:v>0</x:v>
      </x:c>
      <x:c r="W39" s="55" t="n">
        <x:v>5</x:v>
      </x:c>
      <x:c r="X39" s="55" t="n">
        <x:v>0</x:v>
      </x:c>
      <x:c r="Y39" s="55" t="n">
        <x:v>91</x:v>
      </x:c>
      <x:c r="Z39" s="55" t="n">
        <x:v>0</x:v>
      </x:c>
      <x:c r="AA39" s="59" t="n">
        <x:v>2.7755575615628914e-17</x:v>
      </x:c>
      <x:c r="AB39" s="59" t="n">
        <x:v>8.881784197001252e-16</x:v>
      </x:c>
      <x:c r="AC39" s="43" t="str">
        <x:v>No formula change; public transcriptome expression replaces assay-specific HPRT1-normalized qRT-PCR measurements.</x:v>
      </x:c>
      <x:c r="AD39" s="43" t="str">
        <x:v>Cross-platform measurement audit only; the published clinical threshold is not transported.</x:v>
      </x:c>
      <x:c r="AE39" s="44" t="str">
        <x:v>AMBER_DISCLOSE_PLATFORM_TRANSFER</x:v>
      </x:c>
    </x:row>
    <x:row r="40">
      <x:c r="A40" s="51" t="str">
        <x:v>SIG022</x:v>
      </x:c>
      <x:c r="B40" s="52" t="str">
        <x:v>Bacterial/Viral MetaScore</x:v>
      </x:c>
      <x:c r="C40" s="52" t="str">
        <x:v>GSE54514</x:v>
      </x:c>
      <x:c r="D40" s="52" t="str">
        <x:v>GPL6947 Illumina HumanHT-12 v3</x:v>
      </x:c>
      <x:c r="E40" s="52" t="str">
        <x:v>Official series matrix</x:v>
      </x:c>
      <x:c r="F40" s="52" t="str">
        <x:v>Source GenomeStudio processing, log2, quantile-normalized values retained</x:v>
      </x:c>
      <x:c r="G40" s="52" t="str">
        <x:v>Arithmetic mean of all retained unambiguous probes per canonical gene</x:v>
      </x:c>
      <x:c r="H40" s="52" t="str">
        <x:v>Official sample identity route passed 163/163 checks</x:v>
      </x:c>
      <x:c r="I40" s="56" t="n">
        <x:v>7</x:v>
      </x:c>
      <x:c r="J40" s="56" t="n">
        <x:v>7</x:v>
      </x:c>
      <x:c r="K40" s="60" t="n">
        <x:v>100</x:v>
      </x:c>
      <x:c r="L40" s="56" t="n">
        <x:v>10</x:v>
      </x:c>
      <x:c r="M40" s="56" t="n">
        <x:v>2</x:v>
      </x:c>
      <x:c r="N40" s="52" t="n">
        <x:v>3</x:v>
      </x:c>
      <x:c r="O40" s="56" t="n">
        <x:v>163</x:v>
      </x:c>
      <x:c r="P40" s="56" t="n">
        <x:v>0</x:v>
      </x:c>
      <x:c r="Q40" s="56" t="n">
        <x:v>0</x:v>
      </x:c>
      <x:c r="R40" s="52" t="str">
        <x:v>sweeney_bv_ordering_score</x:v>
      </x:c>
      <x:c r="S40" s="56" t="n">
        <x:v>171</x:v>
      </x:c>
      <x:c r="T40" s="52" t="n">
        <x:v>1</x:v>
      </x:c>
      <x:c r="U40" s="60" t="n">
        <x:v>0</x:v>
      </x:c>
      <x:c r="V40" s="60" t="n">
        <x:v>0</x:v>
      </x:c>
      <x:c r="W40" s="56" t="n">
        <x:v>5</x:v>
      </x:c>
      <x:c r="X40" s="56" t="n">
        <x:v>0</x:v>
      </x:c>
      <x:c r="Y40" s="56" t="n">
        <x:v>91</x:v>
      </x:c>
      <x:c r="Z40" s="56" t="n">
        <x:v>0</x:v>
      </x:c>
      <x:c r="AA40" s="60" t="n">
        <x:v>1.0658141036401504e-14</x:v>
      </x:c>
      <x:c r="AB40" s="60" t="n">
        <x:v>1.0436096431476471e-14</x:v>
      </x:c>
      <x:c r="AC40" s="52" t="str">
        <x:v>The publication's common positive gene-count scalar is omitted.</x:v>
      </x:c>
      <x:c r="AD40" s="52" t="str">
        <x:v>A common positive scalar preserves ranks, signs, delta Z, and standardized exact contributions; raw-score units differ.</x:v>
      </x:c>
      <x:c r="AE40" s="53" t="str">
        <x:v>AMBER_DISCLOSE_RAW_UNIT_DIFFERENCE</x:v>
      </x:c>
    </x:row>
    <x:row r="41">
      <x:c r="A41" s="42" t="str">
        <x:v>SIG023</x:v>
      </x:c>
      <x:c r="B41" s="43" t="str">
        <x:v>Herberg Disease Risk Score</x:v>
      </x:c>
      <x:c r="C41" s="43" t="str">
        <x:v>GSE54514</x:v>
      </x:c>
      <x:c r="D41" s="43" t="str">
        <x:v>GPL6947 Illumina HumanHT-12 v3</x:v>
      </x:c>
      <x:c r="E41" s="43" t="str">
        <x:v>Official series matrix</x:v>
      </x:c>
      <x:c r="F41" s="43" t="str">
        <x:v>Source GenomeStudio processing, log2, quantile-normalized values retained</x:v>
      </x:c>
      <x:c r="G41" s="43" t="str">
        <x:v>Arithmetic mean of all retained unambiguous probes per canonical gene</x:v>
      </x:c>
      <x:c r="H41" s="43" t="str">
        <x:v>Official sample identity route passed 163/163 checks</x:v>
      </x:c>
      <x:c r="I41" s="55" t="n">
        <x:v>2</x:v>
      </x:c>
      <x:c r="J41" s="55" t="n">
        <x:v>2</x:v>
      </x:c>
      <x:c r="K41" s="59" t="n">
        <x:v>100</x:v>
      </x:c>
      <x:c r="L41" s="55" t="n">
        <x:v>5</x:v>
      </x:c>
      <x:c r="M41" s="55" t="n">
        <x:v>1</x:v>
      </x:c>
      <x:c r="N41" s="43" t="n">
        <x:v>4</x:v>
      </x:c>
      <x:c r="O41" s="55" t="n">
        <x:v>163</x:v>
      </x:c>
      <x:c r="P41" s="55" t="n">
        <x:v>0</x:v>
      </x:c>
      <x:c r="Q41" s="55" t="n">
        <x:v>0</x:v>
      </x:c>
      <x:c r="R41" s="43" t="str">
        <x:v>herberg_two_gene_drs</x:v>
      </x:c>
      <x:c r="S41" s="55" t="n">
        <x:v>159</x:v>
      </x:c>
      <x:c r="T41" s="43" t="n">
        <x:v>1</x:v>
      </x:c>
      <x:c r="U41" s="59" t="n">
        <x:v>0</x:v>
      </x:c>
      <x:c r="V41" s="59" t="n">
        <x:v>0</x:v>
      </x:c>
      <x:c r="W41" s="55" t="n">
        <x:v>5</x:v>
      </x:c>
      <x:c r="X41" s="55" t="n">
        <x:v>0</x:v>
      </x:c>
      <x:c r="Y41" s="55" t="n">
        <x:v>91</x:v>
      </x:c>
      <x:c r="Z41" s="55" t="n">
        <x:v>0</x:v>
      </x:c>
      <x:c r="AA41" s="59" t="n">
        <x:v>0</x:v>
      </x:c>
      <x:c r="AB41" s="59" t="n">
        <x:v>0</x:v>
      </x:c>
      <x:c r="AC41" s="43" t="str">
        <x:v>No formula change.</x:v>
      </x:c>
      <x:c r="AD41" s="43" t="str">
        <x:v>Linear contrast; dataset-specific scale is removed only after patient-level change by baseline SD.</x:v>
      </x:c>
      <x:c r="AE41" s="44" t="str">
        <x:v>GREEN</x:v>
      </x:c>
    </x:row>
    <x:row r="42">
      <x:c r="A42" s="51" t="str">
        <x:v>SIG033</x:v>
      </x:c>
      <x:c r="B42" s="52" t="str">
        <x:v>Lin seven-gene mortality score</x:v>
      </x:c>
      <x:c r="C42" s="52" t="str">
        <x:v>GSE54514</x:v>
      </x:c>
      <x:c r="D42" s="52" t="str">
        <x:v>GPL6947 Illumina HumanHT-12 v3</x:v>
      </x:c>
      <x:c r="E42" s="52" t="str">
        <x:v>Official series matrix</x:v>
      </x:c>
      <x:c r="F42" s="52" t="str">
        <x:v>Source GenomeStudio processing, log2, quantile-normalized values retained</x:v>
      </x:c>
      <x:c r="G42" s="52" t="str">
        <x:v>Arithmetic mean of all retained unambiguous probes per canonical gene</x:v>
      </x:c>
      <x:c r="H42" s="52" t="str">
        <x:v>Official sample identity route passed 163/163 checks</x:v>
      </x:c>
      <x:c r="I42" s="56" t="n">
        <x:v>7</x:v>
      </x:c>
      <x:c r="J42" s="56" t="n">
        <x:v>7</x:v>
      </x:c>
      <x:c r="K42" s="60" t="n">
        <x:v>100</x:v>
      </x:c>
      <x:c r="L42" s="56" t="n">
        <x:v>10</x:v>
      </x:c>
      <x:c r="M42" s="56" t="n">
        <x:v>3</x:v>
      </x:c>
      <x:c r="N42" s="52" t="n">
        <x:v>2</x:v>
      </x:c>
      <x:c r="O42" s="56" t="n">
        <x:v>163</x:v>
      </x:c>
      <x:c r="P42" s="56" t="n">
        <x:v>0</x:v>
      </x:c>
      <x:c r="Q42" s="56" t="n">
        <x:v>0</x:v>
      </x:c>
      <x:c r="R42" s="52" t="str">
        <x:v>lin7_mortality_score</x:v>
      </x:c>
      <x:c r="S42" s="56" t="n">
        <x:v>230</x:v>
      </x:c>
      <x:c r="T42" s="52" t="n">
        <x:v>1</x:v>
      </x:c>
      <x:c r="U42" s="60" t="n">
        <x:v>0</x:v>
      </x:c>
      <x:c r="V42" s="60" t="n">
        <x:v>0</x:v>
      </x:c>
      <x:c r="W42" s="56" t="n">
        <x:v>5</x:v>
      </x:c>
      <x:c r="X42" s="56" t="n">
        <x:v>0</x:v>
      </x:c>
      <x:c r="Y42" s="56" t="n">
        <x:v>91</x:v>
      </x:c>
      <x:c r="Z42" s="56" t="n">
        <x:v>0</x:v>
      </x:c>
      <x:c r="AA42" s="60" t="n">
        <x:v>4.218847493575595e-15</x:v>
      </x:c>
      <x:c r="AB42" s="60" t="n">
        <x:v>5.218048215738236e-15</x:v>
      </x:c>
      <x:c r="AC42" s="52" t="str">
        <x:v>No gene or coefficient change; no source-study intercept was reported or transported.</x:v>
      </x:c>
      <x:c r="AD42" s="52" t="str">
        <x:v>Fixed weighted sum; dataset-specific baseline SD standardizes longitudinal change.</x:v>
      </x:c>
      <x:c r="AE42" s="53" t="str">
        <x:v>GREEN</x:v>
      </x:c>
    </x:row>
    <x:row r="43">
      <x:c r="A43" s="42" t="str">
        <x:v>SIG034</x:v>
      </x:c>
      <x:c r="B43" s="43" t="str">
        <x:v>Severe-or-Mild score</x:v>
      </x:c>
      <x:c r="C43" s="43" t="str">
        <x:v>GSE54514</x:v>
      </x:c>
      <x:c r="D43" s="43" t="str">
        <x:v>GPL6947 Illumina HumanHT-12 v3</x:v>
      </x:c>
      <x:c r="E43" s="43" t="str">
        <x:v>Official series matrix</x:v>
      </x:c>
      <x:c r="F43" s="43" t="str">
        <x:v>Source GenomeStudio processing, log2, quantile-normalized values retained</x:v>
      </x:c>
      <x:c r="G43" s="43" t="str">
        <x:v>Arithmetic mean of all retained unambiguous probes per canonical gene</x:v>
      </x:c>
      <x:c r="H43" s="43" t="str">
        <x:v>Official sample identity route passed 163/163 checks</x:v>
      </x:c>
      <x:c r="I43" s="55" t="n">
        <x:v>42</x:v>
      </x:c>
      <x:c r="J43" s="55" t="n">
        <x:v>42</x:v>
      </x:c>
      <x:c r="K43" s="59" t="n">
        <x:v>100</x:v>
      </x:c>
      <x:c r="L43" s="55" t="n">
        <x:v>61</x:v>
      </x:c>
      <x:c r="M43" s="55" t="n">
        <x:v>13</x:v>
      </x:c>
      <x:c r="N43" s="43" t="n">
        <x:v>4</x:v>
      </x:c>
      <x:c r="O43" s="55" t="n">
        <x:v>163</x:v>
      </x:c>
      <x:c r="P43" s="55" t="n">
        <x:v>0</x:v>
      </x:c>
      <x:c r="Q43" s="55" t="n">
        <x:v>0</x:v>
      </x:c>
      <x:c r="R43" s="43" t="str">
        <x:v>severe_or_mild_score</x:v>
      </x:c>
      <x:c r="S43" s="55" t="n">
        <x:v>244</x:v>
      </x:c>
      <x:c r="T43" s="43" t="n">
        <x:v>1</x:v>
      </x:c>
      <x:c r="U43" s="59" t="n">
        <x:v>0</x:v>
      </x:c>
      <x:c r="V43" s="59" t="n">
        <x:v>0</x:v>
      </x:c>
      <x:c r="W43" s="55" t="n">
        <x:v>5</x:v>
      </x:c>
      <x:c r="X43" s="55" t="n">
        <x:v>0</x:v>
      </x:c>
      <x:c r="Y43" s="55" t="n">
        <x:v>91</x:v>
      </x:c>
      <x:c r="Z43" s="55" t="n">
        <x:v>0</x:v>
      </x:c>
      <x:c r="AA43" s="59" t="n">
        <x:v>8.604228440844963e-16</x:v>
      </x:c>
      <x:c r="AB43" s="59" t="n">
        <x:v>1.3544720900426911e-14</x:v>
      </x:c>
      <x:c r="AC43" s="43" t="str">
        <x:v>No formula or module-membership change.</x:v>
      </x:c>
      <x:c r="AD43" s="43" t="str">
        <x:v>Exact published module ratio on each dataset's normalized expression scale; no clinical threshold transported.</x:v>
      </x:c>
      <x:c r="AE43" s="44" t="str">
        <x:v>GREEN</x:v>
      </x:c>
    </x:row>
    <x:row r="44">
      <x:c r="A44" s="51" t="str">
        <x:v>SIG001</x:v>
      </x:c>
      <x:c r="B44" s="52" t="str">
        <x:v>Sepsis MetaScore</x:v>
      </x:c>
      <x:c r="C44" s="52" t="str">
        <x:v>GSE110487</x:v>
      </x:c>
      <x:c r="D44" s="52" t="str">
        <x:v>RNA-seq, GENCODE v25</x:v>
      </x:c>
      <x:c r="E44" s="52" t="str">
        <x:v>Raw integer counts</x:v>
      </x:c>
      <x:c r="F44" s="52" t="str">
        <x:v>Duplicate Ensembl IDs for the same canonical gene summed, then DESeq2 VST with blind=TRUE on the full cohort</x:v>
      </x:c>
      <x:c r="G44" s="52" t="str">
        <x:v>Canonical-gene count sum before VST; no post-VST averaging</x:v>
      </x:c>
      <x:c r="H44" s="52" t="str">
        <x:v>VST is a platform-transfer scale, not an assay-equivalent clinical measurement</x:v>
      </x:c>
      <x:c r="I44" s="56" t="n">
        <x:v>11</x:v>
      </x:c>
      <x:c r="J44" s="56" t="n">
        <x:v>11</x:v>
      </x:c>
      <x:c r="K44" s="60" t="n">
        <x:v>100</x:v>
      </x:c>
      <x:c r="L44" s="56" t="n">
        <x:v>12</x:v>
      </x:c>
      <x:c r="M44" s="56" t="n">
        <x:v>1</x:v>
      </x:c>
      <x:c r="N44" s="52" t="n">
        <x:v>2</x:v>
      </x:c>
      <x:c r="O44" s="56" t="n">
        <x:v>62</x:v>
      </x:c>
      <x:c r="P44" s="56" t="n">
        <x:v>0</x:v>
      </x:c>
      <x:c r="Q44" s="56" t="n">
        <x:v>0</x:v>
      </x:c>
      <x:c r="R44" s="52" t="str">
        <x:v>sepsis_metascore_dgm</x:v>
      </x:c>
      <x:c r="S44" s="56" t="n">
        <x:v>108</x:v>
      </x:c>
      <x:c r="T44" s="52" t="n">
        <x:v>1</x:v>
      </x:c>
      <x:c r="U44" s="60" t="n">
        <x:v>0</x:v>
      </x:c>
      <x:c r="V44" s="60" t="n">
        <x:v>0</x:v>
      </x:c>
      <x:c r="W44" s="56" t="n">
        <x:v>5</x:v>
      </x:c>
      <x:c r="X44" s="56" t="n">
        <x:v>0</x:v>
      </x:c>
      <x:c r="Y44" s="56" t="n">
        <x:v>31</x:v>
      </x:c>
      <x:c r="Z44" s="56" t="n">
        <x:v>0</x:v>
      </x:c>
      <x:c r="AA44" s="60" t="n">
        <x:v>9.103828801926284e-15</x:v>
      </x:c>
      <x:c r="AB44" s="60" t="n">
        <x:v>8.881784197001252e-15</x:v>
      </x:c>
      <x:c r="AC44" s="52" t="str">
        <x:v>The published 5/6 coefficient on the down-regulated module is absent.</x:v>
      </x:c>
      <x:c r="AD44" s="52" t="str">
        <x:v>Not a common positive scalar; can change score ranks, longitudinal changes, and gene-contribution architecture.</x:v>
      </x:c>
      <x:c r="AE44" s="53" t="str">
        <x:v>RED_REOPEN_ANALYSIS</x:v>
      </x:c>
    </x:row>
    <x:row r="45">
      <x:c r="A45" s="42" t="str">
        <x:v>SIG002</x:v>
      </x:c>
      <x:c r="B45" s="43" t="str">
        <x:v>SeptiCyte LAB</x:v>
      </x:c>
      <x:c r="C45" s="43" t="str">
        <x:v>GSE110487</x:v>
      </x:c>
      <x:c r="D45" s="43" t="str">
        <x:v>RNA-seq, GENCODE v25</x:v>
      </x:c>
      <x:c r="E45" s="43" t="str">
        <x:v>Raw integer counts</x:v>
      </x:c>
      <x:c r="F45" s="43" t="str">
        <x:v>Duplicate Ensembl IDs for the same canonical gene summed, then DESeq2 VST with blind=TRUE on the full cohort</x:v>
      </x:c>
      <x:c r="G45" s="43" t="str">
        <x:v>Canonical-gene count sum before VST; no post-VST averaging</x:v>
      </x:c>
      <x:c r="H45" s="43" t="str">
        <x:v>VST is a platform-transfer scale, not an assay-equivalent clinical measurement</x:v>
      </x:c>
      <x:c r="I45" s="55" t="n">
        <x:v>4</x:v>
      </x:c>
      <x:c r="J45" s="55" t="n">
        <x:v>4</x:v>
      </x:c>
      <x:c r="K45" s="59" t="n">
        <x:v>100</x:v>
      </x:c>
      <x:c r="L45" s="55" t="n">
        <x:v>5</x:v>
      </x:c>
      <x:c r="M45" s="55" t="n">
        <x:v>1</x:v>
      </x:c>
      <x:c r="N45" s="43" t="n">
        <x:v>2</x:v>
      </x:c>
      <x:c r="O45" s="55" t="n">
        <x:v>62</x:v>
      </x:c>
      <x:c r="P45" s="55" t="n">
        <x:v>0</x:v>
      </x:c>
      <x:c r="Q45" s="55" t="n">
        <x:v>0</x:v>
      </x:c>
      <x:c r="R45" s="43" t="str">
        <x:v>septicyte_lab_microarray</x:v>
      </x:c>
      <x:c r="S45" s="55" t="n">
        <x:v>122</x:v>
      </x:c>
      <x:c r="T45" s="43" t="n">
        <x:v>1</x:v>
      </x:c>
      <x:c r="U45" s="59" t="n">
        <x:v>0</x:v>
      </x:c>
      <x:c r="V45" s="59" t="n">
        <x:v>0</x:v>
      </x:c>
      <x:c r="W45" s="55" t="n">
        <x:v>5</x:v>
      </x:c>
      <x:c r="X45" s="55" t="n">
        <x:v>0</x:v>
      </x:c>
      <x:c r="Y45" s="55" t="n">
        <x:v>31</x:v>
      </x:c>
      <x:c r="Z45" s="55" t="n">
        <x:v>0</x:v>
      </x:c>
      <x:c r="AA45" s="59" t="n">
        <x:v>5.3290705182007506e-15</x:v>
      </x:c>
      <x:c r="AB45" s="59" t="n">
        <x:v>2.7755575615628914e-15</x:v>
      </x:c>
      <x:c r="AC45" s="43" t="str">
        <x:v>No coefficient or gene difference; public normalized transcriptomic values are substituted for assay-specific log intensity.</x:v>
      </x:c>
      <x:c r="AD45" s="43" t="str">
        <x:v>Exact linear contrast on log-scale microarrays; VST RNA-seq is a platform-transfer approximation and is not a clinical assay score.</x:v>
      </x:c>
      <x:c r="AE45" s="44" t="str">
        <x:v>AMBER_DISCLOSE_PLATFORM_TRANSFER</x:v>
      </x:c>
    </x:row>
    <x:row r="46">
      <x:c r="A46" s="51" t="str">
        <x:v>SIG003</x:v>
      </x:c>
      <x:c r="B46" s="52" t="str">
        <x:v>FAIM3:PLAC8 ratio</x:v>
      </x:c>
      <x:c r="C46" s="52" t="str">
        <x:v>GSE110487</x:v>
      </x:c>
      <x:c r="D46" s="52" t="str">
        <x:v>RNA-seq, GENCODE v25</x:v>
      </x:c>
      <x:c r="E46" s="52" t="str">
        <x:v>Raw integer counts</x:v>
      </x:c>
      <x:c r="F46" s="52" t="str">
        <x:v>Duplicate Ensembl IDs for the same canonical gene summed, then DESeq2 VST with blind=TRUE on the full cohort</x:v>
      </x:c>
      <x:c r="G46" s="52" t="str">
        <x:v>Canonical-gene count sum before VST; no post-VST averaging</x:v>
      </x:c>
      <x:c r="H46" s="52" t="str">
        <x:v>VST is a platform-transfer scale, not an assay-equivalent clinical measurement</x:v>
      </x:c>
      <x:c r="I46" s="56" t="n">
        <x:v>2</x:v>
      </x:c>
      <x:c r="J46" s="56" t="n">
        <x:v>2</x:v>
      </x:c>
      <x:c r="K46" s="60" t="n">
        <x:v>100</x:v>
      </x:c>
      <x:c r="L46" s="56" t="n">
        <x:v>3</x:v>
      </x:c>
      <x:c r="M46" s="56" t="n">
        <x:v>1</x:v>
      </x:c>
      <x:c r="N46" s="52" t="n">
        <x:v>2</x:v>
      </x:c>
      <x:c r="O46" s="56" t="n">
        <x:v>62</x:v>
      </x:c>
      <x:c r="P46" s="56" t="n">
        <x:v>0</x:v>
      </x:c>
      <x:c r="Q46" s="56" t="n">
        <x:v>0</x:v>
      </x:c>
      <x:c r="R46" s="52" t="str">
        <x:v>faim3_plac8_ratio</x:v>
      </x:c>
      <x:c r="S46" s="56" t="n">
        <x:v>133</x:v>
      </x:c>
      <x:c r="T46" s="52" t="n">
        <x:v>-1</x:v>
      </x:c>
      <x:c r="U46" s="60" t="n">
        <x:v>0</x:v>
      </x:c>
      <x:c r="V46" s="60" t="n">
        <x:v>0</x:v>
      </x:c>
      <x:c r="W46" s="56" t="n">
        <x:v>5</x:v>
      </x:c>
      <x:c r="X46" s="56" t="n">
        <x:v>0</x:v>
      </x:c>
      <x:c r="Y46" s="56" t="n">
        <x:v>31</x:v>
      </x:c>
      <x:c r="Z46" s="56" t="n">
        <x:v>0</x:v>
      </x:c>
      <x:c r="AA46" s="60" t="n">
        <x:v>0</x:v>
      </x:c>
      <x:c r="AB46" s="60" t="n">
        <x:v>0</x:v>
      </x:c>
      <x:c r="AC46" s="52" t="str">
        <x:v>No formula change; study-specific expression preprocessing and a harmonizing direction multiplier are explicit.</x:v>
      </x:c>
      <x:c r="AD46" s="52" t="str">
        <x:v>Direction inversion changes sign only and is applied once; thresholds from the diagnostic assay are not transported.</x:v>
      </x:c>
      <x:c r="AE46" s="53" t="str">
        <x:v>AMBER_DISCLOSE_PLATFORM_TRANSFER</x:v>
      </x:c>
    </x:row>
    <x:row r="47">
      <x:c r="A47" s="42" t="str">
        <x:v>SIG004</x:v>
      </x:c>
      <x:c r="B47" s="43" t="str">
        <x:v>sNIP</x:v>
      </x:c>
      <x:c r="C47" s="43" t="str">
        <x:v>GSE110487</x:v>
      </x:c>
      <x:c r="D47" s="43" t="str">
        <x:v>RNA-seq, GENCODE v25</x:v>
      </x:c>
      <x:c r="E47" s="43" t="str">
        <x:v>Raw integer counts</x:v>
      </x:c>
      <x:c r="F47" s="43" t="str">
        <x:v>Duplicate Ensembl IDs for the same canonical gene summed, then DESeq2 VST with blind=TRUE on the full cohort</x:v>
      </x:c>
      <x:c r="G47" s="43" t="str">
        <x:v>Canonical-gene count sum before VST; no post-VST averaging</x:v>
      </x:c>
      <x:c r="H47" s="43" t="str">
        <x:v>VST is a platform-transfer scale, not an assay-equivalent clinical measurement</x:v>
      </x:c>
      <x:c r="I47" s="55" t="n">
        <x:v>3</x:v>
      </x:c>
      <x:c r="J47" s="55" t="n">
        <x:v>3</x:v>
      </x:c>
      <x:c r="K47" s="59" t="n">
        <x:v>100</x:v>
      </x:c>
      <x:c r="L47" s="55" t="n">
        <x:v>4</x:v>
      </x:c>
      <x:c r="M47" s="55" t="n">
        <x:v>1</x:v>
      </x:c>
      <x:c r="N47" s="43" t="n">
        <x:v>2</x:v>
      </x:c>
      <x:c r="O47" s="55" t="n">
        <x:v>62</x:v>
      </x:c>
      <x:c r="P47" s="55" t="n">
        <x:v>0</x:v>
      </x:c>
      <x:c r="Q47" s="55" t="n">
        <x:v>0</x:v>
      </x:c>
      <x:c r="R47" s="43" t="str">
        <x:v>snip_score</x:v>
      </x:c>
      <x:c r="S47" s="55" t="n">
        <x:v>149</x:v>
      </x:c>
      <x:c r="T47" s="43" t="n">
        <x:v>1</x:v>
      </x:c>
      <x:c r="U47" s="59" t="n">
        <x:v>0</x:v>
      </x:c>
      <x:c r="V47" s="59" t="n">
        <x:v>0</x:v>
      </x:c>
      <x:c r="W47" s="55" t="n">
        <x:v>5</x:v>
      </x:c>
      <x:c r="X47" s="55" t="n">
        <x:v>0</x:v>
      </x:c>
      <x:c r="Y47" s="55" t="n">
        <x:v>31</x:v>
      </x:c>
      <x:c r="Z47" s="55" t="n">
        <x:v>0</x:v>
      </x:c>
      <x:c r="AA47" s="59" t="n">
        <x:v>5.551115123125783e-17</x:v>
      </x:c>
      <x:c r="AB47" s="59" t="n">
        <x:v>4.440892098500626e-16</x:v>
      </x:c>
      <x:c r="AC47" s="43" t="str">
        <x:v>No formula change; public transcriptome expression replaces assay-specific HPRT1-normalized qRT-PCR measurements.</x:v>
      </x:c>
      <x:c r="AD47" s="43" t="str">
        <x:v>Cross-platform measurement audit only; the published clinical threshold is not transported.</x:v>
      </x:c>
      <x:c r="AE47" s="44" t="str">
        <x:v>AMBER_DISCLOSE_PLATFORM_TRANSFER</x:v>
      </x:c>
    </x:row>
    <x:row r="48">
      <x:c r="A48" s="51" t="str">
        <x:v>SIG022</x:v>
      </x:c>
      <x:c r="B48" s="52" t="str">
        <x:v>Bacterial/Viral MetaScore</x:v>
      </x:c>
      <x:c r="C48" s="52" t="str">
        <x:v>GSE110487</x:v>
      </x:c>
      <x:c r="D48" s="52" t="str">
        <x:v>RNA-seq, GENCODE v25</x:v>
      </x:c>
      <x:c r="E48" s="52" t="str">
        <x:v>Raw integer counts</x:v>
      </x:c>
      <x:c r="F48" s="52" t="str">
        <x:v>Duplicate Ensembl IDs for the same canonical gene summed, then DESeq2 VST with blind=TRUE on the full cohort</x:v>
      </x:c>
      <x:c r="G48" s="52" t="str">
        <x:v>Canonical-gene count sum before VST; no post-VST averaging</x:v>
      </x:c>
      <x:c r="H48" s="52" t="str">
        <x:v>VST is a platform-transfer scale, not an assay-equivalent clinical measurement</x:v>
      </x:c>
      <x:c r="I48" s="56" t="n">
        <x:v>7</x:v>
      </x:c>
      <x:c r="J48" s="56" t="n">
        <x:v>7</x:v>
      </x:c>
      <x:c r="K48" s="60" t="n">
        <x:v>100</x:v>
      </x:c>
      <x:c r="L48" s="56" t="n">
        <x:v>8</x:v>
      </x:c>
      <x:c r="M48" s="56" t="n">
        <x:v>1</x:v>
      </x:c>
      <x:c r="N48" s="52" t="n">
        <x:v>2</x:v>
      </x:c>
      <x:c r="O48" s="56" t="n">
        <x:v>62</x:v>
      </x:c>
      <x:c r="P48" s="56" t="n">
        <x:v>0</x:v>
      </x:c>
      <x:c r="Q48" s="56" t="n">
        <x:v>0</x:v>
      </x:c>
      <x:c r="R48" s="52" t="str">
        <x:v>sweeney_bv_ordering_score</x:v>
      </x:c>
      <x:c r="S48" s="56" t="n">
        <x:v>171</x:v>
      </x:c>
      <x:c r="T48" s="52" t="n">
        <x:v>1</x:v>
      </x:c>
      <x:c r="U48" s="60" t="n">
        <x:v>0</x:v>
      </x:c>
      <x:c r="V48" s="60" t="n">
        <x:v>0</x:v>
      </x:c>
      <x:c r="W48" s="56" t="n">
        <x:v>5</x:v>
      </x:c>
      <x:c r="X48" s="56" t="n">
        <x:v>0</x:v>
      </x:c>
      <x:c r="Y48" s="56" t="n">
        <x:v>31</x:v>
      </x:c>
      <x:c r="Z48" s="56" t="n">
        <x:v>0</x:v>
      </x:c>
      <x:c r="AA48" s="60" t="n">
        <x:v>6.3282712403633915e-15</x:v>
      </x:c>
      <x:c r="AB48" s="60" t="n">
        <x:v>5.551115123125783e-15</x:v>
      </x:c>
      <x:c r="AC48" s="52" t="str">
        <x:v>The publication's common positive gene-count scalar is omitted.</x:v>
      </x:c>
      <x:c r="AD48" s="52" t="str">
        <x:v>A common positive scalar preserves ranks, signs, delta Z, and standardized exact contributions; raw-score units differ.</x:v>
      </x:c>
      <x:c r="AE48" s="53" t="str">
        <x:v>AMBER_DISCLOSE_RAW_UNIT_DIFFERENCE</x:v>
      </x:c>
    </x:row>
    <x:row r="49">
      <x:c r="A49" s="42" t="str">
        <x:v>SIG023</x:v>
      </x:c>
      <x:c r="B49" s="43" t="str">
        <x:v>Herberg Disease Risk Score</x:v>
      </x:c>
      <x:c r="C49" s="43" t="str">
        <x:v>GSE110487</x:v>
      </x:c>
      <x:c r="D49" s="43" t="str">
        <x:v>RNA-seq, GENCODE v25</x:v>
      </x:c>
      <x:c r="E49" s="43" t="str">
        <x:v>Raw integer counts</x:v>
      </x:c>
      <x:c r="F49" s="43" t="str">
        <x:v>Duplicate Ensembl IDs for the same canonical gene summed, then DESeq2 VST with blind=TRUE on the full cohort</x:v>
      </x:c>
      <x:c r="G49" s="43" t="str">
        <x:v>Canonical-gene count sum before VST; no post-VST averaging</x:v>
      </x:c>
      <x:c r="H49" s="43" t="str">
        <x:v>VST is a platform-transfer scale, not an assay-equivalent clinical measurement</x:v>
      </x:c>
      <x:c r="I49" s="55" t="n">
        <x:v>2</x:v>
      </x:c>
      <x:c r="J49" s="55" t="n">
        <x:v>2</x:v>
      </x:c>
      <x:c r="K49" s="59" t="n">
        <x:v>100</x:v>
      </x:c>
      <x:c r="L49" s="55" t="n">
        <x:v>2</x:v>
      </x:c>
      <x:c r="M49" s="55" t="n">
        <x:v>0</x:v>
      </x:c>
      <x:c r="N49" s="43" t="n">
        <x:v>1</x:v>
      </x:c>
      <x:c r="O49" s="55" t="n">
        <x:v>62</x:v>
      </x:c>
      <x:c r="P49" s="55" t="n">
        <x:v>0</x:v>
      </x:c>
      <x:c r="Q49" s="55" t="n">
        <x:v>0</x:v>
      </x:c>
      <x:c r="R49" s="43" t="str">
        <x:v>herberg_two_gene_drs</x:v>
      </x:c>
      <x:c r="S49" s="55" t="n">
        <x:v>159</x:v>
      </x:c>
      <x:c r="T49" s="43" t="n">
        <x:v>1</x:v>
      </x:c>
      <x:c r="U49" s="59" t="n">
        <x:v>0</x:v>
      </x:c>
      <x:c r="V49" s="59" t="n">
        <x:v>0</x:v>
      </x:c>
      <x:c r="W49" s="55" t="n">
        <x:v>5</x:v>
      </x:c>
      <x:c r="X49" s="55" t="n">
        <x:v>0</x:v>
      </x:c>
      <x:c r="Y49" s="55" t="n">
        <x:v>31</x:v>
      </x:c>
      <x:c r="Z49" s="55" t="n">
        <x:v>0</x:v>
      </x:c>
      <x:c r="AA49" s="59" t="n">
        <x:v>0</x:v>
      </x:c>
      <x:c r="AB49" s="59" t="n">
        <x:v>0</x:v>
      </x:c>
      <x:c r="AC49" s="43" t="str">
        <x:v>No formula change.</x:v>
      </x:c>
      <x:c r="AD49" s="43" t="str">
        <x:v>Linear contrast; dataset-specific scale is removed only after patient-level change by baseline SD.</x:v>
      </x:c>
      <x:c r="AE49" s="44" t="str">
        <x:v>GREEN</x:v>
      </x:c>
    </x:row>
    <x:row r="50">
      <x:c r="A50" s="51" t="str">
        <x:v>SIG033</x:v>
      </x:c>
      <x:c r="B50" s="52" t="str">
        <x:v>Lin seven-gene mortality score</x:v>
      </x:c>
      <x:c r="C50" s="52" t="str">
        <x:v>GSE110487</x:v>
      </x:c>
      <x:c r="D50" s="52" t="str">
        <x:v>RNA-seq, GENCODE v25</x:v>
      </x:c>
      <x:c r="E50" s="52" t="str">
        <x:v>Raw integer counts</x:v>
      </x:c>
      <x:c r="F50" s="52" t="str">
        <x:v>Duplicate Ensembl IDs for the same canonical gene summed, then DESeq2 VST with blind=TRUE on the full cohort</x:v>
      </x:c>
      <x:c r="G50" s="52" t="str">
        <x:v>Canonical-gene count sum before VST; no post-VST averaging</x:v>
      </x:c>
      <x:c r="H50" s="52" t="str">
        <x:v>VST is a platform-transfer scale, not an assay-equivalent clinical measurement</x:v>
      </x:c>
      <x:c r="I50" s="56" t="n">
        <x:v>7</x:v>
      </x:c>
      <x:c r="J50" s="56" t="n">
        <x:v>7</x:v>
      </x:c>
      <x:c r="K50" s="60" t="n">
        <x:v>100</x:v>
      </x:c>
      <x:c r="L50" s="56" t="n">
        <x:v>7</x:v>
      </x:c>
      <x:c r="M50" s="56" t="n">
        <x:v>0</x:v>
      </x:c>
      <x:c r="N50" s="52" t="n">
        <x:v>1</x:v>
      </x:c>
      <x:c r="O50" s="56" t="n">
        <x:v>62</x:v>
      </x:c>
      <x:c r="P50" s="56" t="n">
        <x:v>0</x:v>
      </x:c>
      <x:c r="Q50" s="56" t="n">
        <x:v>0</x:v>
      </x:c>
      <x:c r="R50" s="52" t="str">
        <x:v>lin7_mortality_score</x:v>
      </x:c>
      <x:c r="S50" s="56" t="n">
        <x:v>230</x:v>
      </x:c>
      <x:c r="T50" s="52" t="n">
        <x:v>1</x:v>
      </x:c>
      <x:c r="U50" s="60" t="n">
        <x:v>0</x:v>
      </x:c>
      <x:c r="V50" s="60" t="n">
        <x:v>0</x:v>
      </x:c>
      <x:c r="W50" s="56" t="n">
        <x:v>5</x:v>
      </x:c>
      <x:c r="X50" s="56" t="n">
        <x:v>0</x:v>
      </x:c>
      <x:c r="Y50" s="56" t="n">
        <x:v>31</x:v>
      </x:c>
      <x:c r="Z50" s="56" t="n">
        <x:v>0</x:v>
      </x:c>
      <x:c r="AA50" s="60" t="n">
        <x:v>5.551115123125783e-15</x:v>
      </x:c>
      <x:c r="AB50" s="60" t="n">
        <x:v>4.996003610813205e-15</x:v>
      </x:c>
      <x:c r="AC50" s="52" t="str">
        <x:v>No gene or coefficient change; no source-study intercept was reported or transported.</x:v>
      </x:c>
      <x:c r="AD50" s="52" t="str">
        <x:v>Fixed weighted sum; dataset-specific baseline SD standardizes longitudinal change.</x:v>
      </x:c>
      <x:c r="AE50" s="53" t="str">
        <x:v>GREEN</x:v>
      </x:c>
    </x:row>
    <x:row r="51">
      <x:c r="A51" s="45" t="str">
        <x:v>SIG034</x:v>
      </x:c>
      <x:c r="B51" s="46" t="str">
        <x:v>Severe-or-Mild score</x:v>
      </x:c>
      <x:c r="C51" s="46" t="str">
        <x:v>GSE110487</x:v>
      </x:c>
      <x:c r="D51" s="46" t="str">
        <x:v>RNA-seq, GENCODE v25</x:v>
      </x:c>
      <x:c r="E51" s="46" t="str">
        <x:v>Raw integer counts</x:v>
      </x:c>
      <x:c r="F51" s="46" t="str">
        <x:v>Duplicate Ensembl IDs for the same canonical gene summed, then DESeq2 VST with blind=TRUE on the full cohort</x:v>
      </x:c>
      <x:c r="G51" s="46" t="str">
        <x:v>Canonical-gene count sum before VST; no post-VST averaging</x:v>
      </x:c>
      <x:c r="H51" s="46" t="str">
        <x:v>VST is a platform-transfer scale, not an assay-equivalent clinical measurement</x:v>
      </x:c>
      <x:c r="I51" s="57" t="n">
        <x:v>42</x:v>
      </x:c>
      <x:c r="J51" s="57" t="n">
        <x:v>42</x:v>
      </x:c>
      <x:c r="K51" s="61" t="n">
        <x:v>100</x:v>
      </x:c>
      <x:c r="L51" s="57" t="n">
        <x:v>47</x:v>
      </x:c>
      <x:c r="M51" s="57" t="n">
        <x:v>5</x:v>
      </x:c>
      <x:c r="N51" s="46" t="n">
        <x:v>2</x:v>
      </x:c>
      <x:c r="O51" s="57" t="n">
        <x:v>62</x:v>
      </x:c>
      <x:c r="P51" s="57" t="n">
        <x:v>0</x:v>
      </x:c>
      <x:c r="Q51" s="57" t="n">
        <x:v>0</x:v>
      </x:c>
      <x:c r="R51" s="46" t="str">
        <x:v>severe_or_mild_score</x:v>
      </x:c>
      <x:c r="S51" s="57" t="n">
        <x:v>244</x:v>
      </x:c>
      <x:c r="T51" s="46" t="n">
        <x:v>1</x:v>
      </x:c>
      <x:c r="U51" s="61" t="n">
        <x:v>0</x:v>
      </x:c>
      <x:c r="V51" s="61" t="n">
        <x:v>0</x:v>
      </x:c>
      <x:c r="W51" s="57" t="n">
        <x:v>5</x:v>
      </x:c>
      <x:c r="X51" s="57" t="n">
        <x:v>0</x:v>
      </x:c>
      <x:c r="Y51" s="57" t="n">
        <x:v>31</x:v>
      </x:c>
      <x:c r="Z51" s="57" t="n">
        <x:v>0</x:v>
      </x:c>
      <x:c r="AA51" s="61" t="n">
        <x:v>1.3114509478384662e-15</x:v>
      </x:c>
      <x:c r="AB51" s="61" t="n">
        <x:v>1.7152945730458672e-14</x:v>
      </x:c>
      <x:c r="AC51" s="46" t="str">
        <x:v>No formula or module-membership change.</x:v>
      </x:c>
      <x:c r="AD51" s="46" t="str">
        <x:v>Exact published module ratio on each dataset's normalized expression scale; no clinical threshold transported.</x:v>
      </x:c>
      <x:c r="AE51" s="47" t="str">
        <x:v>GREEN</x:v>
      </x:c>
    </x:row>
  </x:sheetData>
  <x:mergeCells>
    <x:mergeCell ref="A1:AE1"/>
    <x:mergeCell ref="A2:AE2"/>
  </x:mergeCells>
  <x:conditionalFormatting sqref="AE4:AE51">
    <x:cfRule type="containsText" dxfId="7" priority="1" operator="containsText" text="RED"/>
    <x:cfRule type="containsText" dxfId="8" priority="2" operator="containsText" text="FAIL"/>
    <x:cfRule type="containsText" dxfId="9" priority="3" operator="containsText" text="AMBER"/>
    <x:cfRule type="containsText" dxfId="10" priority="4" operator="containsText" text="EXPECTED"/>
    <x:cfRule type="containsText" dxfId="11" priority="5" operator="containsText" text="PASS"/>
    <x:cfRule type="containsText" dxfId="12" priority="6" operator="containsText" text="GREEN"/>
    <x:cfRule type="containsText" dxfId="13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2f58a7f408d544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7" customHeight="1">
      <x:c r="A1" s="13" t="str">
        <x:v>Required-gene and platform-feature coverage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34" customHeight="1">
      <x:c r="A2" s="16" t="str">
        <x:v>Each row traces a required signature gene to retained platform features and canonical HGNC reporting symbols.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42" customHeight="1">
      <x:c r="A3" s="19" t="str">
        <x:v>dataset</x:v>
      </x:c>
      <x:c r="B3" s="19" t="str">
        <x:v>signature_id</x:v>
      </x:c>
      <x:c r="C3" s="19" t="str">
        <x:v>gene</x:v>
      </x:c>
      <x:c r="D3" s="19" t="str">
        <x:v>feature_n</x:v>
      </x:c>
      <x:c r="E3" s="19" t="str">
        <x:v>original_symbols</x:v>
      </x:c>
      <x:c r="F3" s="19" t="str">
        <x:v>canonical_symbol</x:v>
      </x:c>
      <x:c r="G3" s="19" t="str">
        <x:v>historical_mapping_used</x:v>
      </x:c>
      <x:c r="H3" s="19" t="str">
        <x:v>expression_min</x:v>
      </x:c>
      <x:c r="I3" s="19" t="str">
        <x:v>expression_max</x:v>
      </x:c>
      <x:c r="J3" s="19" t="str">
        <x:v>nonpositive_n</x:v>
      </x:c>
      <x:c r="K3" s="19" t="str">
        <x:v>missing_n</x:v>
      </x:c>
      <x:c r="L3" s="19" t="str">
        <x:v>status</x:v>
      </x:c>
    </x:row>
    <x:row r="4">
      <x:c r="A4" s="48" t="str">
        <x:v>GSE236713</x:v>
      </x:c>
      <x:c r="B4" s="49" t="str">
        <x:v>SIG001</x:v>
      </x:c>
      <x:c r="C4" s="49" t="str">
        <x:v>CEACAM1</x:v>
      </x:c>
      <x:c r="D4" s="54" t="n">
        <x:v>2</x:v>
      </x:c>
      <x:c r="E4" s="49" t="str">
        <x:v>CEACAM1</x:v>
      </x:c>
      <x:c r="F4" s="49" t="str">
        <x:v>CEACAM1</x:v>
      </x:c>
      <x:c r="G4" s="49" t="str">
        <x:v>NO</x:v>
      </x:c>
      <x:c r="H4" s="58" t="n">
        <x:v>4.495535815690474</x:v>
      </x:c>
      <x:c r="I4" s="58" t="n">
        <x:v>13.504170402410812</x:v>
      </x:c>
      <x:c r="J4" s="54" t="n">
        <x:v>0</x:v>
      </x:c>
      <x:c r="K4" s="54" t="n">
        <x:v>0</x:v>
      </x:c>
      <x:c r="L4" s="50" t="str">
        <x:v>COMPLETE</x:v>
      </x:c>
    </x:row>
    <x:row r="5">
      <x:c r="A5" s="42" t="str">
        <x:v>GSE236713</x:v>
      </x:c>
      <x:c r="B5" s="43" t="str">
        <x:v>SIG001</x:v>
      </x:c>
      <x:c r="C5" s="43" t="str">
        <x:v>ZDHHC19</x:v>
      </x:c>
      <x:c r="D5" s="55" t="n">
        <x:v>1</x:v>
      </x:c>
      <x:c r="E5" s="43" t="str">
        <x:v>ZDHHC19</x:v>
      </x:c>
      <x:c r="F5" s="43" t="str">
        <x:v>ZDHHC19</x:v>
      </x:c>
      <x:c r="G5" s="43" t="str">
        <x:v>NO</x:v>
      </x:c>
      <x:c r="H5" s="59" t="n">
        <x:v>0.504186942684625</x:v>
      </x:c>
      <x:c r="I5" s="59" t="n">
        <x:v>7.982478826518179</x:v>
      </x:c>
      <x:c r="J5" s="55" t="n">
        <x:v>0</x:v>
      </x:c>
      <x:c r="K5" s="55" t="n">
        <x:v>0</x:v>
      </x:c>
      <x:c r="L5" s="44" t="str">
        <x:v>COMPLETE</x:v>
      </x:c>
    </x:row>
    <x:row r="6">
      <x:c r="A6" s="51" t="str">
        <x:v>GSE236713</x:v>
      </x:c>
      <x:c r="B6" s="52" t="str">
        <x:v>SIG001</x:v>
      </x:c>
      <x:c r="C6" s="52" t="str">
        <x:v>NMRK1</x:v>
      </x:c>
      <x:c r="D6" s="56" t="n">
        <x:v>2</x:v>
      </x:c>
      <x:c r="E6" s="52" t="str">
        <x:v>C9orf95</x:v>
      </x:c>
      <x:c r="F6" s="52" t="str">
        <x:v>NMRK1</x:v>
      </x:c>
      <x:c r="G6" s="52" t="str">
        <x:v>YES</x:v>
      </x:c>
      <x:c r="H6" s="60" t="n">
        <x:v>5.276879988225154</x:v>
      </x:c>
      <x:c r="I6" s="60" t="n">
        <x:v>12.114900354197662</x:v>
      </x:c>
      <x:c r="J6" s="56" t="n">
        <x:v>0</x:v>
      </x:c>
      <x:c r="K6" s="56" t="n">
        <x:v>0</x:v>
      </x:c>
      <x:c r="L6" s="53" t="str">
        <x:v>COMPLETE</x:v>
      </x:c>
    </x:row>
    <x:row r="7">
      <x:c r="A7" s="42" t="str">
        <x:v>GSE236713</x:v>
      </x:c>
      <x:c r="B7" s="43" t="str">
        <x:v>SIG001</x:v>
      </x:c>
      <x:c r="C7" s="43" t="str">
        <x:v>GNA15</x:v>
      </x:c>
      <x:c r="D7" s="55" t="n">
        <x:v>1</x:v>
      </x:c>
      <x:c r="E7" s="43" t="str">
        <x:v>GNA15</x:v>
      </x:c>
      <x:c r="F7" s="43" t="str">
        <x:v>GNA15</x:v>
      </x:c>
      <x:c r="G7" s="43" t="str">
        <x:v>NO</x:v>
      </x:c>
      <x:c r="H7" s="59" t="n">
        <x:v>3.901501022335088</x:v>
      </x:c>
      <x:c r="I7" s="59" t="n">
        <x:v>9.82150961640242</x:v>
      </x:c>
      <x:c r="J7" s="55" t="n">
        <x:v>0</x:v>
      </x:c>
      <x:c r="K7" s="55" t="n">
        <x:v>0</x:v>
      </x:c>
      <x:c r="L7" s="44" t="str">
        <x:v>COMPLETE</x:v>
      </x:c>
    </x:row>
    <x:row r="8">
      <x:c r="A8" s="51" t="str">
        <x:v>GSE236713</x:v>
      </x:c>
      <x:c r="B8" s="52" t="str">
        <x:v>SIG001</x:v>
      </x:c>
      <x:c r="C8" s="52" t="str">
        <x:v>BATF</x:v>
      </x:c>
      <x:c r="D8" s="56" t="n">
        <x:v>1</x:v>
      </x:c>
      <x:c r="E8" s="52" t="str">
        <x:v>BATF</x:v>
      </x:c>
      <x:c r="F8" s="52" t="str">
        <x:v>BATF</x:v>
      </x:c>
      <x:c r="G8" s="52" t="str">
        <x:v>NO</x:v>
      </x:c>
      <x:c r="H8" s="60" t="n">
        <x:v>10.702703758401404</x:v>
      </x:c>
      <x:c r="I8" s="60" t="n">
        <x:v>15.599576181177795</x:v>
      </x:c>
      <x:c r="J8" s="56" t="n">
        <x:v>0</x:v>
      </x:c>
      <x:c r="K8" s="56" t="n">
        <x:v>0</x:v>
      </x:c>
      <x:c r="L8" s="53" t="str">
        <x:v>COMPLETE</x:v>
      </x:c>
    </x:row>
    <x:row r="9">
      <x:c r="A9" s="42" t="str">
        <x:v>GSE236713</x:v>
      </x:c>
      <x:c r="B9" s="43" t="str">
        <x:v>SIG001</x:v>
      </x:c>
      <x:c r="C9" s="43" t="str">
        <x:v>C3AR1</x:v>
      </x:c>
      <x:c r="D9" s="55" t="n">
        <x:v>1</x:v>
      </x:c>
      <x:c r="E9" s="43" t="str">
        <x:v>C3AR1</x:v>
      </x:c>
      <x:c r="F9" s="43" t="str">
        <x:v>C3AR1</x:v>
      </x:c>
      <x:c r="G9" s="43" t="str">
        <x:v>NO</x:v>
      </x:c>
      <x:c r="H9" s="59" t="n">
        <x:v>8.201495402123703</x:v>
      </x:c>
      <x:c r="I9" s="59" t="n">
        <x:v>13.208004355789448</x:v>
      </x:c>
      <x:c r="J9" s="55" t="n">
        <x:v>0</x:v>
      </x:c>
      <x:c r="K9" s="55" t="n">
        <x:v>0</x:v>
      </x:c>
      <x:c r="L9" s="44" t="str">
        <x:v>COMPLETE</x:v>
      </x:c>
    </x:row>
    <x:row r="10">
      <x:c r="A10" s="51" t="str">
        <x:v>GSE236713</x:v>
      </x:c>
      <x:c r="B10" s="52" t="str">
        <x:v>SIG001</x:v>
      </x:c>
      <x:c r="C10" s="52" t="str">
        <x:v>FAM214A</x:v>
      </x:c>
      <x:c r="D10" s="56" t="n">
        <x:v>1</x:v>
      </x:c>
      <x:c r="E10" s="52" t="str">
        <x:v>KIAA1370</x:v>
      </x:c>
      <x:c r="F10" s="52" t="str">
        <x:v>FAM214A</x:v>
      </x:c>
      <x:c r="G10" s="52" t="str">
        <x:v>YES</x:v>
      </x:c>
      <x:c r="H10" s="60" t="n">
        <x:v>5.02840857495324</x:v>
      </x:c>
      <x:c r="I10" s="60" t="n">
        <x:v>11.20608050732564</x:v>
      </x:c>
      <x:c r="J10" s="56" t="n">
        <x:v>0</x:v>
      </x:c>
      <x:c r="K10" s="56" t="n">
        <x:v>0</x:v>
      </x:c>
      <x:c r="L10" s="53" t="str">
        <x:v>COMPLETE</x:v>
      </x:c>
    </x:row>
    <x:row r="11">
      <x:c r="A11" s="42" t="str">
        <x:v>GSE236713</x:v>
      </x:c>
      <x:c r="B11" s="43" t="str">
        <x:v>SIG001</x:v>
      </x:c>
      <x:c r="C11" s="43" t="str">
        <x:v>TGFBI</x:v>
      </x:c>
      <x:c r="D11" s="55" t="n">
        <x:v>1</x:v>
      </x:c>
      <x:c r="E11" s="43" t="str">
        <x:v>TGFBI</x:v>
      </x:c>
      <x:c r="F11" s="43" t="str">
        <x:v>TGFBI</x:v>
      </x:c>
      <x:c r="G11" s="43" t="str">
        <x:v>NO</x:v>
      </x:c>
      <x:c r="H11" s="59" t="n">
        <x:v>7.866029911454563</x:v>
      </x:c>
      <x:c r="I11" s="59" t="n">
        <x:v>15.851853977198092</x:v>
      </x:c>
      <x:c r="J11" s="55" t="n">
        <x:v>0</x:v>
      </x:c>
      <x:c r="K11" s="55" t="n">
        <x:v>0</x:v>
      </x:c>
      <x:c r="L11" s="44" t="str">
        <x:v>COMPLETE</x:v>
      </x:c>
    </x:row>
    <x:row r="12">
      <x:c r="A12" s="51" t="str">
        <x:v>GSE236713</x:v>
      </x:c>
      <x:c r="B12" s="52" t="str">
        <x:v>SIG001</x:v>
      </x:c>
      <x:c r="C12" s="52" t="str">
        <x:v>MTCH1</x:v>
      </x:c>
      <x:c r="D12" s="56" t="n">
        <x:v>2</x:v>
      </x:c>
      <x:c r="E12" s="52" t="str">
        <x:v>MTCH1</x:v>
      </x:c>
      <x:c r="F12" s="52" t="str">
        <x:v>MTCH1</x:v>
      </x:c>
      <x:c r="G12" s="52" t="str">
        <x:v>NO</x:v>
      </x:c>
      <x:c r="H12" s="60" t="n">
        <x:v>10.747269017211025</x:v>
      </x:c>
      <x:c r="I12" s="60" t="n">
        <x:v>13.96145288543152</x:v>
      </x:c>
      <x:c r="J12" s="56" t="n">
        <x:v>0</x:v>
      </x:c>
      <x:c r="K12" s="56" t="n">
        <x:v>0</x:v>
      </x:c>
      <x:c r="L12" s="53" t="str">
        <x:v>COMPLETE</x:v>
      </x:c>
    </x:row>
    <x:row r="13">
      <x:c r="A13" s="42" t="str">
        <x:v>GSE236713</x:v>
      </x:c>
      <x:c r="B13" s="43" t="str">
        <x:v>SIG001</x:v>
      </x:c>
      <x:c r="C13" s="43" t="str">
        <x:v>RPGRIP1</x:v>
      </x:c>
      <x:c r="D13" s="55" t="n">
        <x:v>1</x:v>
      </x:c>
      <x:c r="E13" s="43" t="str">
        <x:v>RPGRIP1</x:v>
      </x:c>
      <x:c r="F13" s="43" t="str">
        <x:v>RPGRIP1</x:v>
      </x:c>
      <x:c r="G13" s="43" t="str">
        <x:v>NO</x:v>
      </x:c>
      <x:c r="H13" s="59" t="n">
        <x:v>1.5863271920963196</x:v>
      </x:c>
      <x:c r="I13" s="59" t="n">
        <x:v>10.608764218552489</x:v>
      </x:c>
      <x:c r="J13" s="55" t="n">
        <x:v>0</x:v>
      </x:c>
      <x:c r="K13" s="55" t="n">
        <x:v>0</x:v>
      </x:c>
      <x:c r="L13" s="44" t="str">
        <x:v>COMPLETE</x:v>
      </x:c>
    </x:row>
    <x:row r="14">
      <x:c r="A14" s="51" t="str">
        <x:v>GSE236713</x:v>
      </x:c>
      <x:c r="B14" s="52" t="str">
        <x:v>SIG001</x:v>
      </x:c>
      <x:c r="C14" s="52" t="str">
        <x:v>HLA-DPB1</x:v>
      </x:c>
      <x:c r="D14" s="56" t="n">
        <x:v>5</x:v>
      </x:c>
      <x:c r="E14" s="52" t="str">
        <x:v>HLA-DPB1</x:v>
      </x:c>
      <x:c r="F14" s="52" t="str">
        <x:v>HLA-DPB1</x:v>
      </x:c>
      <x:c r="G14" s="52" t="str">
        <x:v>NO</x:v>
      </x:c>
      <x:c r="H14" s="60" t="n">
        <x:v>8.074954421963643</x:v>
      </x:c>
      <x:c r="I14" s="60" t="n">
        <x:v>12.933013472450616</x:v>
      </x:c>
      <x:c r="J14" s="56" t="n">
        <x:v>0</x:v>
      </x:c>
      <x:c r="K14" s="56" t="n">
        <x:v>0</x:v>
      </x:c>
      <x:c r="L14" s="53" t="str">
        <x:v>COMPLETE</x:v>
      </x:c>
    </x:row>
    <x:row r="15">
      <x:c r="A15" s="42" t="str">
        <x:v>GSE236713</x:v>
      </x:c>
      <x:c r="B15" s="43" t="str">
        <x:v>SIG002</x:v>
      </x:c>
      <x:c r="C15" s="43" t="str">
        <x:v>PLAC8</x:v>
      </x:c>
      <x:c r="D15" s="55" t="n">
        <x:v>2</x:v>
      </x:c>
      <x:c r="E15" s="43" t="str">
        <x:v>PLAC8</x:v>
      </x:c>
      <x:c r="F15" s="43" t="str">
        <x:v>PLAC8</x:v>
      </x:c>
      <x:c r="G15" s="43" t="str">
        <x:v>NO</x:v>
      </x:c>
      <x:c r="H15" s="59" t="n">
        <x:v>6.422954737282025</x:v>
      </x:c>
      <x:c r="I15" s="59" t="n">
        <x:v>11.36705885553928</x:v>
      </x:c>
      <x:c r="J15" s="55" t="n">
        <x:v>0</x:v>
      </x:c>
      <x:c r="K15" s="55" t="n">
        <x:v>0</x:v>
      </x:c>
      <x:c r="L15" s="44" t="str">
        <x:v>COMPLETE</x:v>
      </x:c>
    </x:row>
    <x:row r="16">
      <x:c r="A16" s="51" t="str">
        <x:v>GSE236713</x:v>
      </x:c>
      <x:c r="B16" s="52" t="str">
        <x:v>SIG002</x:v>
      </x:c>
      <x:c r="C16" s="52" t="str">
        <x:v>LAMP1</x:v>
      </x:c>
      <x:c r="D16" s="56" t="n">
        <x:v>1</x:v>
      </x:c>
      <x:c r="E16" s="52" t="str">
        <x:v>LAMP1</x:v>
      </x:c>
      <x:c r="F16" s="52" t="str">
        <x:v>LAMP1</x:v>
      </x:c>
      <x:c r="G16" s="52" t="str">
        <x:v>NO</x:v>
      </x:c>
      <x:c r="H16" s="60" t="n">
        <x:v>12.877121506687455</x:v>
      </x:c>
      <x:c r="I16" s="60" t="n">
        <x:v>17.30063117226726</x:v>
      </x:c>
      <x:c r="J16" s="56" t="n">
        <x:v>0</x:v>
      </x:c>
      <x:c r="K16" s="56" t="n">
        <x:v>0</x:v>
      </x:c>
      <x:c r="L16" s="53" t="str">
        <x:v>COMPLETE</x:v>
      </x:c>
    </x:row>
    <x:row r="17">
      <x:c r="A17" s="42" t="str">
        <x:v>GSE236713</x:v>
      </x:c>
      <x:c r="B17" s="43" t="str">
        <x:v>SIG002</x:v>
      </x:c>
      <x:c r="C17" s="43" t="str">
        <x:v>PLA2G7</x:v>
      </x:c>
      <x:c r="D17" s="55" t="n">
        <x:v>1</x:v>
      </x:c>
      <x:c r="E17" s="43" t="str">
        <x:v>PLA2G7</x:v>
      </x:c>
      <x:c r="F17" s="43" t="str">
        <x:v>PLA2G7</x:v>
      </x:c>
      <x:c r="G17" s="43" t="str">
        <x:v>NO</x:v>
      </x:c>
      <x:c r="H17" s="59" t="n">
        <x:v>1.6416429107971573</x:v>
      </x:c>
      <x:c r="I17" s="59" t="n">
        <x:v>12.144530817913816</x:v>
      </x:c>
      <x:c r="J17" s="55" t="n">
        <x:v>0</x:v>
      </x:c>
      <x:c r="K17" s="55" t="n">
        <x:v>0</x:v>
      </x:c>
      <x:c r="L17" s="44" t="str">
        <x:v>COMPLETE</x:v>
      </x:c>
    </x:row>
    <x:row r="18">
      <x:c r="A18" s="51" t="str">
        <x:v>GSE236713</x:v>
      </x:c>
      <x:c r="B18" s="52" t="str">
        <x:v>SIG002</x:v>
      </x:c>
      <x:c r="C18" s="52" t="str">
        <x:v>CEACAM4</x:v>
      </x:c>
      <x:c r="D18" s="56" t="n">
        <x:v>1</x:v>
      </x:c>
      <x:c r="E18" s="52" t="str">
        <x:v>CEACAM4</x:v>
      </x:c>
      <x:c r="F18" s="52" t="str">
        <x:v>CEACAM4</x:v>
      </x:c>
      <x:c r="G18" s="52" t="str">
        <x:v>NO</x:v>
      </x:c>
      <x:c r="H18" s="60" t="n">
        <x:v>5.8705602352267</x:v>
      </x:c>
      <x:c r="I18" s="60" t="n">
        <x:v>13.16057416703147</x:v>
      </x:c>
      <x:c r="J18" s="56" t="n">
        <x:v>0</x:v>
      </x:c>
      <x:c r="K18" s="56" t="n">
        <x:v>0</x:v>
      </x:c>
      <x:c r="L18" s="53" t="str">
        <x:v>COMPLETE</x:v>
      </x:c>
    </x:row>
    <x:row r="19">
      <x:c r="A19" s="42" t="str">
        <x:v>GSE236713</x:v>
      </x:c>
      <x:c r="B19" s="43" t="str">
        <x:v>SIG003</x:v>
      </x:c>
      <x:c r="C19" s="43" t="str">
        <x:v>FAIM3</x:v>
      </x:c>
      <x:c r="D19" s="55" t="n">
        <x:v>1</x:v>
      </x:c>
      <x:c r="E19" s="43" t="str">
        <x:v>FAIM3</x:v>
      </x:c>
      <x:c r="F19" s="43" t="str">
        <x:v>FAIM3</x:v>
      </x:c>
      <x:c r="G19" s="43" t="str">
        <x:v>NO</x:v>
      </x:c>
      <x:c r="H19" s="59" t="n">
        <x:v>5.96580797605874</x:v>
      </x:c>
      <x:c r="I19" s="59" t="n">
        <x:v>11.362495721736586</x:v>
      </x:c>
      <x:c r="J19" s="55" t="n">
        <x:v>0</x:v>
      </x:c>
      <x:c r="K19" s="55" t="n">
        <x:v>0</x:v>
      </x:c>
      <x:c r="L19" s="44" t="str">
        <x:v>COMPLETE</x:v>
      </x:c>
    </x:row>
    <x:row r="20">
      <x:c r="A20" s="51" t="str">
        <x:v>GSE236713</x:v>
      </x:c>
      <x:c r="B20" s="52" t="str">
        <x:v>SIG003</x:v>
      </x:c>
      <x:c r="C20" s="52" t="str">
        <x:v>PLAC8</x:v>
      </x:c>
      <x:c r="D20" s="56" t="n">
        <x:v>2</x:v>
      </x:c>
      <x:c r="E20" s="52" t="str">
        <x:v>PLAC8</x:v>
      </x:c>
      <x:c r="F20" s="52" t="str">
        <x:v>PLAC8</x:v>
      </x:c>
      <x:c r="G20" s="52" t="str">
        <x:v>NO</x:v>
      </x:c>
      <x:c r="H20" s="60" t="n">
        <x:v>6.422954737282025</x:v>
      </x:c>
      <x:c r="I20" s="60" t="n">
        <x:v>11.36705885553928</x:v>
      </x:c>
      <x:c r="J20" s="56" t="n">
        <x:v>0</x:v>
      </x:c>
      <x:c r="K20" s="56" t="n">
        <x:v>0</x:v>
      </x:c>
      <x:c r="L20" s="53" t="str">
        <x:v>COMPLETE</x:v>
      </x:c>
    </x:row>
    <x:row r="21">
      <x:c r="A21" s="42" t="str">
        <x:v>GSE236713</x:v>
      </x:c>
      <x:c r="B21" s="43" t="str">
        <x:v>SIG004</x:v>
      </x:c>
      <x:c r="C21" s="43" t="str">
        <x:v>NLRP1</x:v>
      </x:c>
      <x:c r="D21" s="55" t="n">
        <x:v>2</x:v>
      </x:c>
      <x:c r="E21" s="43" t="str">
        <x:v>NLRP1</x:v>
      </x:c>
      <x:c r="F21" s="43" t="str">
        <x:v>NLRP1</x:v>
      </x:c>
      <x:c r="G21" s="43" t="str">
        <x:v>NO</x:v>
      </x:c>
      <x:c r="H21" s="59" t="n">
        <x:v>7.225986182758159</x:v>
      </x:c>
      <x:c r="I21" s="59" t="n">
        <x:v>12.173197742924538</x:v>
      </x:c>
      <x:c r="J21" s="55" t="n">
        <x:v>0</x:v>
      </x:c>
      <x:c r="K21" s="55" t="n">
        <x:v>0</x:v>
      </x:c>
      <x:c r="L21" s="44" t="str">
        <x:v>COMPLETE</x:v>
      </x:c>
    </x:row>
    <x:row r="22">
      <x:c r="A22" s="51" t="str">
        <x:v>GSE236713</x:v>
      </x:c>
      <x:c r="B22" s="52" t="str">
        <x:v>SIG004</x:v>
      </x:c>
      <x:c r="C22" s="52" t="str">
        <x:v>IDNK</x:v>
      </x:c>
      <x:c r="D22" s="56" t="n">
        <x:v>1</x:v>
      </x:c>
      <x:c r="E22" s="52" t="str">
        <x:v>C9orf103</x:v>
      </x:c>
      <x:c r="F22" s="52" t="str">
        <x:v>IDNK</x:v>
      </x:c>
      <x:c r="G22" s="52" t="str">
        <x:v>YES</x:v>
      </x:c>
      <x:c r="H22" s="60" t="n">
        <x:v>7.11088659395808</x:v>
      </x:c>
      <x:c r="I22" s="60" t="n">
        <x:v>12.651132703493277</x:v>
      </x:c>
      <x:c r="J22" s="56" t="n">
        <x:v>0</x:v>
      </x:c>
      <x:c r="K22" s="56" t="n">
        <x:v>0</x:v>
      </x:c>
      <x:c r="L22" s="53" t="str">
        <x:v>COMPLETE</x:v>
      </x:c>
    </x:row>
    <x:row r="23">
      <x:c r="A23" s="42" t="str">
        <x:v>GSE236713</x:v>
      </x:c>
      <x:c r="B23" s="43" t="str">
        <x:v>SIG004</x:v>
      </x:c>
      <x:c r="C23" s="43" t="str">
        <x:v>PLAC8</x:v>
      </x:c>
      <x:c r="D23" s="55" t="n">
        <x:v>2</x:v>
      </x:c>
      <x:c r="E23" s="43" t="str">
        <x:v>PLAC8</x:v>
      </x:c>
      <x:c r="F23" s="43" t="str">
        <x:v>PLAC8</x:v>
      </x:c>
      <x:c r="G23" s="43" t="str">
        <x:v>NO</x:v>
      </x:c>
      <x:c r="H23" s="59" t="n">
        <x:v>6.422954737282025</x:v>
      </x:c>
      <x:c r="I23" s="59" t="n">
        <x:v>11.36705885553928</x:v>
      </x:c>
      <x:c r="J23" s="55" t="n">
        <x:v>0</x:v>
      </x:c>
      <x:c r="K23" s="55" t="n">
        <x:v>0</x:v>
      </x:c>
      <x:c r="L23" s="44" t="str">
        <x:v>COMPLETE</x:v>
      </x:c>
    </x:row>
    <x:row r="24">
      <x:c r="A24" s="51" t="str">
        <x:v>GSE236713</x:v>
      </x:c>
      <x:c r="B24" s="52" t="str">
        <x:v>SIG022</x:v>
      </x:c>
      <x:c r="C24" s="52" t="str">
        <x:v>IFI27</x:v>
      </x:c>
      <x:c r="D24" s="56" t="n">
        <x:v>1</x:v>
      </x:c>
      <x:c r="E24" s="52" t="str">
        <x:v>IFI27</x:v>
      </x:c>
      <x:c r="F24" s="52" t="str">
        <x:v>IFI27</x:v>
      </x:c>
      <x:c r="G24" s="52" t="str">
        <x:v>NO</x:v>
      </x:c>
      <x:c r="H24" s="60" t="n">
        <x:v>0.940501034627256</x:v>
      </x:c>
      <x:c r="I24" s="60" t="n">
        <x:v>15.189328556780447</x:v>
      </x:c>
      <x:c r="J24" s="56" t="n">
        <x:v>0</x:v>
      </x:c>
      <x:c r="K24" s="56" t="n">
        <x:v>0</x:v>
      </x:c>
      <x:c r="L24" s="53" t="str">
        <x:v>COMPLETE</x:v>
      </x:c>
    </x:row>
    <x:row r="25">
      <x:c r="A25" s="42" t="str">
        <x:v>GSE236713</x:v>
      </x:c>
      <x:c r="B25" s="43" t="str">
        <x:v>SIG022</x:v>
      </x:c>
      <x:c r="C25" s="43" t="str">
        <x:v>JUP</x:v>
      </x:c>
      <x:c r="D25" s="55" t="n">
        <x:v>1</x:v>
      </x:c>
      <x:c r="E25" s="43" t="str">
        <x:v>JUP</x:v>
      </x:c>
      <x:c r="F25" s="43" t="str">
        <x:v>JUP</x:v>
      </x:c>
      <x:c r="G25" s="43" t="str">
        <x:v>NO</x:v>
      </x:c>
      <x:c r="H25" s="59" t="n">
        <x:v>4.070062051149284</x:v>
      </x:c>
      <x:c r="I25" s="59" t="n">
        <x:v>11.594821092588289</x:v>
      </x:c>
      <x:c r="J25" s="55" t="n">
        <x:v>0</x:v>
      </x:c>
      <x:c r="K25" s="55" t="n">
        <x:v>0</x:v>
      </x:c>
      <x:c r="L25" s="44" t="str">
        <x:v>COMPLETE</x:v>
      </x:c>
    </x:row>
    <x:row r="26">
      <x:c r="A26" s="51" t="str">
        <x:v>GSE236713</x:v>
      </x:c>
      <x:c r="B26" s="52" t="str">
        <x:v>SIG022</x:v>
      </x:c>
      <x:c r="C26" s="52" t="str">
        <x:v>LAX1</x:v>
      </x:c>
      <x:c r="D26" s="56" t="n">
        <x:v>1</x:v>
      </x:c>
      <x:c r="E26" s="52" t="str">
        <x:v>LAX1</x:v>
      </x:c>
      <x:c r="F26" s="52" t="str">
        <x:v>LAX1</x:v>
      </x:c>
      <x:c r="G26" s="52" t="str">
        <x:v>NO</x:v>
      </x:c>
      <x:c r="H26" s="60" t="n">
        <x:v>2.9928649628647004</x:v>
      </x:c>
      <x:c r="I26" s="60" t="n">
        <x:v>9.37000337844129</x:v>
      </x:c>
      <x:c r="J26" s="56" t="n">
        <x:v>0</x:v>
      </x:c>
      <x:c r="K26" s="56" t="n">
        <x:v>0</x:v>
      </x:c>
      <x:c r="L26" s="53" t="str">
        <x:v>COMPLETE</x:v>
      </x:c>
    </x:row>
    <x:row r="27">
      <x:c r="A27" s="42" t="str">
        <x:v>GSE236713</x:v>
      </x:c>
      <x:c r="B27" s="43" t="str">
        <x:v>SIG022</x:v>
      </x:c>
      <x:c r="C27" s="43" t="str">
        <x:v>HK3</x:v>
      </x:c>
      <x:c r="D27" s="55" t="n">
        <x:v>1</x:v>
      </x:c>
      <x:c r="E27" s="43" t="str">
        <x:v>HK3</x:v>
      </x:c>
      <x:c r="F27" s="43" t="str">
        <x:v>HK3</x:v>
      </x:c>
      <x:c r="G27" s="43" t="str">
        <x:v>NO</x:v>
      </x:c>
      <x:c r="H27" s="59" t="n">
        <x:v>5.924514731956883</x:v>
      </x:c>
      <x:c r="I27" s="59" t="n">
        <x:v>15.411299729737657</x:v>
      </x:c>
      <x:c r="J27" s="55" t="n">
        <x:v>0</x:v>
      </x:c>
      <x:c r="K27" s="55" t="n">
        <x:v>0</x:v>
      </x:c>
      <x:c r="L27" s="44" t="str">
        <x:v>COMPLETE</x:v>
      </x:c>
    </x:row>
    <x:row r="28">
      <x:c r="A28" s="51" t="str">
        <x:v>GSE236713</x:v>
      </x:c>
      <x:c r="B28" s="52" t="str">
        <x:v>SIG022</x:v>
      </x:c>
      <x:c r="C28" s="52" t="str">
        <x:v>TNIP1</x:v>
      </x:c>
      <x:c r="D28" s="56" t="n">
        <x:v>1</x:v>
      </x:c>
      <x:c r="E28" s="52" t="str">
        <x:v>TNIP1</x:v>
      </x:c>
      <x:c r="F28" s="52" t="str">
        <x:v>TNIP1</x:v>
      </x:c>
      <x:c r="G28" s="52" t="str">
        <x:v>NO</x:v>
      </x:c>
      <x:c r="H28" s="60" t="n">
        <x:v>10.083862033326572</x:v>
      </x:c>
      <x:c r="I28" s="60" t="n">
        <x:v>13.628930659810711</x:v>
      </x:c>
      <x:c r="J28" s="56" t="n">
        <x:v>0</x:v>
      </x:c>
      <x:c r="K28" s="56" t="n">
        <x:v>0</x:v>
      </x:c>
      <x:c r="L28" s="53" t="str">
        <x:v>COMPLETE</x:v>
      </x:c>
    </x:row>
    <x:row r="29">
      <x:c r="A29" s="42" t="str">
        <x:v>GSE236713</x:v>
      </x:c>
      <x:c r="B29" s="43" t="str">
        <x:v>SIG022</x:v>
      </x:c>
      <x:c r="C29" s="43" t="str">
        <x:v>GPAA1</x:v>
      </x:c>
      <x:c r="D29" s="55" t="n">
        <x:v>2</x:v>
      </x:c>
      <x:c r="E29" s="43" t="str">
        <x:v>GPAA1</x:v>
      </x:c>
      <x:c r="F29" s="43" t="str">
        <x:v>GPAA1</x:v>
      </x:c>
      <x:c r="G29" s="43" t="str">
        <x:v>NO</x:v>
      </x:c>
      <x:c r="H29" s="59" t="n">
        <x:v>8.188658651208115</x:v>
      </x:c>
      <x:c r="I29" s="59" t="n">
        <x:v>11.742082615956056</x:v>
      </x:c>
      <x:c r="J29" s="55" t="n">
        <x:v>0</x:v>
      </x:c>
      <x:c r="K29" s="55" t="n">
        <x:v>0</x:v>
      </x:c>
      <x:c r="L29" s="44" t="str">
        <x:v>COMPLETE</x:v>
      </x:c>
    </x:row>
    <x:row r="30">
      <x:c r="A30" s="51" t="str">
        <x:v>GSE236713</x:v>
      </x:c>
      <x:c r="B30" s="52" t="str">
        <x:v>SIG022</x:v>
      </x:c>
      <x:c r="C30" s="52" t="str">
        <x:v>CTSB</x:v>
      </x:c>
      <x:c r="D30" s="56" t="n">
        <x:v>1</x:v>
      </x:c>
      <x:c r="E30" s="52" t="str">
        <x:v>CTSB</x:v>
      </x:c>
      <x:c r="F30" s="52" t="str">
        <x:v>CTSB</x:v>
      </x:c>
      <x:c r="G30" s="52" t="str">
        <x:v>NO</x:v>
      </x:c>
      <x:c r="H30" s="60" t="n">
        <x:v>9.425962452587733</x:v>
      </x:c>
      <x:c r="I30" s="60" t="n">
        <x:v>13.713556669964964</x:v>
      </x:c>
      <x:c r="J30" s="56" t="n">
        <x:v>0</x:v>
      </x:c>
      <x:c r="K30" s="56" t="n">
        <x:v>0</x:v>
      </x:c>
      <x:c r="L30" s="53" t="str">
        <x:v>COMPLETE</x:v>
      </x:c>
    </x:row>
    <x:row r="31">
      <x:c r="A31" s="42" t="str">
        <x:v>GSE236713</x:v>
      </x:c>
      <x:c r="B31" s="43" t="str">
        <x:v>SIG023</x:v>
      </x:c>
      <x:c r="C31" s="43" t="str">
        <x:v>FAM89A</x:v>
      </x:c>
      <x:c r="D31" s="55" t="n">
        <x:v>1</x:v>
      </x:c>
      <x:c r="E31" s="43" t="str">
        <x:v>FAM89A</x:v>
      </x:c>
      <x:c r="F31" s="43" t="str">
        <x:v>FAM89A</x:v>
      </x:c>
      <x:c r="G31" s="43" t="str">
        <x:v>NO</x:v>
      </x:c>
      <x:c r="H31" s="59" t="n">
        <x:v>6.451829478299199</x:v>
      </x:c>
      <x:c r="I31" s="59" t="n">
        <x:v>12.903144482612811</x:v>
      </x:c>
      <x:c r="J31" s="55" t="n">
        <x:v>0</x:v>
      </x:c>
      <x:c r="K31" s="55" t="n">
        <x:v>0</x:v>
      </x:c>
      <x:c r="L31" s="44" t="str">
        <x:v>COMPLETE</x:v>
      </x:c>
    </x:row>
    <x:row r="32">
      <x:c r="A32" s="51" t="str">
        <x:v>GSE236713</x:v>
      </x:c>
      <x:c r="B32" s="52" t="str">
        <x:v>SIG023</x:v>
      </x:c>
      <x:c r="C32" s="52" t="str">
        <x:v>IFI44L</x:v>
      </x:c>
      <x:c r="D32" s="56" t="n">
        <x:v>1</x:v>
      </x:c>
      <x:c r="E32" s="52" t="str">
        <x:v>IFI44L</x:v>
      </x:c>
      <x:c r="F32" s="52" t="str">
        <x:v>IFI44L</x:v>
      </x:c>
      <x:c r="G32" s="52" t="str">
        <x:v>NO</x:v>
      </x:c>
      <x:c r="H32" s="60" t="n">
        <x:v>3.1178030104942462</x:v>
      </x:c>
      <x:c r="I32" s="60" t="n">
        <x:v>14.99710978897204</x:v>
      </x:c>
      <x:c r="J32" s="56" t="n">
        <x:v>0</x:v>
      </x:c>
      <x:c r="K32" s="56" t="n">
        <x:v>0</x:v>
      </x:c>
      <x:c r="L32" s="53" t="str">
        <x:v>COMPLETE</x:v>
      </x:c>
    </x:row>
    <x:row r="33">
      <x:c r="A33" s="42" t="str">
        <x:v>GSE236713</x:v>
      </x:c>
      <x:c r="B33" s="43" t="str">
        <x:v>SIG033</x:v>
      </x:c>
      <x:c r="C33" s="43" t="str">
        <x:v>ADRB2</x:v>
      </x:c>
      <x:c r="D33" s="55" t="n">
        <x:v>1</x:v>
      </x:c>
      <x:c r="E33" s="43" t="str">
        <x:v>ADRB2</x:v>
      </x:c>
      <x:c r="F33" s="43" t="str">
        <x:v>ADRB2</x:v>
      </x:c>
      <x:c r="G33" s="43" t="str">
        <x:v>NO</x:v>
      </x:c>
      <x:c r="H33" s="59" t="n">
        <x:v>8.586774726258772</x:v>
      </x:c>
      <x:c r="I33" s="59" t="n">
        <x:v>12.786172640177398</x:v>
      </x:c>
      <x:c r="J33" s="55" t="n">
        <x:v>0</x:v>
      </x:c>
      <x:c r="K33" s="55" t="n">
        <x:v>0</x:v>
      </x:c>
      <x:c r="L33" s="44" t="str">
        <x:v>COMPLETE</x:v>
      </x:c>
    </x:row>
    <x:row r="34">
      <x:c r="A34" s="51" t="str">
        <x:v>GSE236713</x:v>
      </x:c>
      <x:c r="B34" s="52" t="str">
        <x:v>SIG033</x:v>
      </x:c>
      <x:c r="C34" s="52" t="str">
        <x:v>CTSG</x:v>
      </x:c>
      <x:c r="D34" s="56" t="n">
        <x:v>1</x:v>
      </x:c>
      <x:c r="E34" s="52" t="str">
        <x:v>CTSG</x:v>
      </x:c>
      <x:c r="F34" s="52" t="str">
        <x:v>CTSG</x:v>
      </x:c>
      <x:c r="G34" s="52" t="str">
        <x:v>NO</x:v>
      </x:c>
      <x:c r="H34" s="60" t="n">
        <x:v>3.995641291317322</x:v>
      </x:c>
      <x:c r="I34" s="60" t="n">
        <x:v>13.84494980430643</x:v>
      </x:c>
      <x:c r="J34" s="56" t="n">
        <x:v>0</x:v>
      </x:c>
      <x:c r="K34" s="56" t="n">
        <x:v>0</x:v>
      </x:c>
      <x:c r="L34" s="53" t="str">
        <x:v>COMPLETE</x:v>
      </x:c>
    </x:row>
    <x:row r="35">
      <x:c r="A35" s="42" t="str">
        <x:v>GSE236713</x:v>
      </x:c>
      <x:c r="B35" s="43" t="str">
        <x:v>SIG033</x:v>
      </x:c>
      <x:c r="C35" s="43" t="str">
        <x:v>CX3CR1</x:v>
      </x:c>
      <x:c r="D35" s="55" t="n">
        <x:v>1</x:v>
      </x:c>
      <x:c r="E35" s="43" t="str">
        <x:v>CX3CR1</x:v>
      </x:c>
      <x:c r="F35" s="43" t="str">
        <x:v>CX3CR1</x:v>
      </x:c>
      <x:c r="G35" s="43" t="str">
        <x:v>NO</x:v>
      </x:c>
      <x:c r="H35" s="59" t="n">
        <x:v>8.673661936201663</x:v>
      </x:c>
      <x:c r="I35" s="59" t="n">
        <x:v>15.976766716621816</x:v>
      </x:c>
      <x:c r="J35" s="55" t="n">
        <x:v>0</x:v>
      </x:c>
      <x:c r="K35" s="55" t="n">
        <x:v>0</x:v>
      </x:c>
      <x:c r="L35" s="44" t="str">
        <x:v>COMPLETE</x:v>
      </x:c>
    </x:row>
    <x:row r="36">
      <x:c r="A36" s="51" t="str">
        <x:v>GSE236713</x:v>
      </x:c>
      <x:c r="B36" s="52" t="str">
        <x:v>SIG033</x:v>
      </x:c>
      <x:c r="C36" s="52" t="str">
        <x:v>CXCR6</x:v>
      </x:c>
      <x:c r="D36" s="56" t="n">
        <x:v>1</x:v>
      </x:c>
      <x:c r="E36" s="52" t="str">
        <x:v>CXCR6</x:v>
      </x:c>
      <x:c r="F36" s="52" t="str">
        <x:v>CXCR6</x:v>
      </x:c>
      <x:c r="G36" s="52" t="str">
        <x:v>NO</x:v>
      </x:c>
      <x:c r="H36" s="60" t="n">
        <x:v>2.5319738149489024</x:v>
      </x:c>
      <x:c r="I36" s="60" t="n">
        <x:v>9.980085985707056</x:v>
      </x:c>
      <x:c r="J36" s="56" t="n">
        <x:v>0</x:v>
      </x:c>
      <x:c r="K36" s="56" t="n">
        <x:v>0</x:v>
      </x:c>
      <x:c r="L36" s="53" t="str">
        <x:v>COMPLETE</x:v>
      </x:c>
    </x:row>
    <x:row r="37">
      <x:c r="A37" s="42" t="str">
        <x:v>GSE236713</x:v>
      </x:c>
      <x:c r="B37" s="43" t="str">
        <x:v>SIG033</x:v>
      </x:c>
      <x:c r="C37" s="43" t="str">
        <x:v>IL4R</x:v>
      </x:c>
      <x:c r="D37" s="55" t="n">
        <x:v>3</x:v>
      </x:c>
      <x:c r="E37" s="43" t="str">
        <x:v>IL4R</x:v>
      </x:c>
      <x:c r="F37" s="43" t="str">
        <x:v>IL4R</x:v>
      </x:c>
      <x:c r="G37" s="43" t="str">
        <x:v>NO</x:v>
      </x:c>
      <x:c r="H37" s="59" t="n">
        <x:v>6.6269289565556955</x:v>
      </x:c>
      <x:c r="I37" s="59" t="n">
        <x:v>14.262813856144676</x:v>
      </x:c>
      <x:c r="J37" s="55" t="n">
        <x:v>0</x:v>
      </x:c>
      <x:c r="K37" s="55" t="n">
        <x:v>0</x:v>
      </x:c>
      <x:c r="L37" s="44" t="str">
        <x:v>COMPLETE</x:v>
      </x:c>
    </x:row>
    <x:row r="38">
      <x:c r="A38" s="51" t="str">
        <x:v>GSE236713</x:v>
      </x:c>
      <x:c r="B38" s="52" t="str">
        <x:v>SIG033</x:v>
      </x:c>
      <x:c r="C38" s="52" t="str">
        <x:v>LTB</x:v>
      </x:c>
      <x:c r="D38" s="56" t="n">
        <x:v>1</x:v>
      </x:c>
      <x:c r="E38" s="52" t="str">
        <x:v>LTB</x:v>
      </x:c>
      <x:c r="F38" s="52" t="str">
        <x:v>LTB</x:v>
      </x:c>
      <x:c r="G38" s="52" t="str">
        <x:v>NO</x:v>
      </x:c>
      <x:c r="H38" s="60" t="n">
        <x:v>10.669067677616734</x:v>
      </x:c>
      <x:c r="I38" s="60" t="n">
        <x:v>15.665249491564506</x:v>
      </x:c>
      <x:c r="J38" s="56" t="n">
        <x:v>0</x:v>
      </x:c>
      <x:c r="K38" s="56" t="n">
        <x:v>0</x:v>
      </x:c>
      <x:c r="L38" s="53" t="str">
        <x:v>COMPLETE</x:v>
      </x:c>
    </x:row>
    <x:row r="39">
      <x:c r="A39" s="42" t="str">
        <x:v>GSE236713</x:v>
      </x:c>
      <x:c r="B39" s="43" t="str">
        <x:v>SIG033</x:v>
      </x:c>
      <x:c r="C39" s="43" t="str">
        <x:v>TMSB10</x:v>
      </x:c>
      <x:c r="D39" s="55" t="n">
        <x:v>1</x:v>
      </x:c>
      <x:c r="E39" s="43" t="str">
        <x:v>TMSB10</x:v>
      </x:c>
      <x:c r="F39" s="43" t="str">
        <x:v>TMSB10</x:v>
      </x:c>
      <x:c r="G39" s="43" t="str">
        <x:v>NO</x:v>
      </x:c>
      <x:c r="H39" s="59" t="n">
        <x:v>11.272708711170166</x:v>
      </x:c>
      <x:c r="I39" s="59" t="n">
        <x:v>15.76024458745698</x:v>
      </x:c>
      <x:c r="J39" s="55" t="n">
        <x:v>0</x:v>
      </x:c>
      <x:c r="K39" s="55" t="n">
        <x:v>0</x:v>
      </x:c>
      <x:c r="L39" s="44" t="str">
        <x:v>COMPLETE</x:v>
      </x:c>
    </x:row>
    <x:row r="40">
      <x:c r="A40" s="51" t="str">
        <x:v>GSE236713</x:v>
      </x:c>
      <x:c r="B40" s="52" t="str">
        <x:v>SIG034</x:v>
      </x:c>
      <x:c r="C40" s="52" t="str">
        <x:v>NQO2</x:v>
      </x:c>
      <x:c r="D40" s="56" t="n">
        <x:v>3</x:v>
      </x:c>
      <x:c r="E40" s="52" t="str">
        <x:v>NQO2</x:v>
      </x:c>
      <x:c r="F40" s="52" t="str">
        <x:v>NQO2</x:v>
      </x:c>
      <x:c r="G40" s="52" t="str">
        <x:v>NO</x:v>
      </x:c>
      <x:c r="H40" s="60" t="n">
        <x:v>5.284749420804073</x:v>
      </x:c>
      <x:c r="I40" s="60" t="n">
        <x:v>9.669624898847829</x:v>
      </x:c>
      <x:c r="J40" s="56" t="n">
        <x:v>0</x:v>
      </x:c>
      <x:c r="K40" s="56" t="n">
        <x:v>0</x:v>
      </x:c>
      <x:c r="L40" s="53" t="str">
        <x:v>COMPLETE</x:v>
      </x:c>
    </x:row>
    <x:row r="41">
      <x:c r="A41" s="42" t="str">
        <x:v>GSE236713</x:v>
      </x:c>
      <x:c r="B41" s="43" t="str">
        <x:v>SIG034</x:v>
      </x:c>
      <x:c r="C41" s="43" t="str">
        <x:v>SLPI</x:v>
      </x:c>
      <x:c r="D41" s="55" t="n">
        <x:v>1</x:v>
      </x:c>
      <x:c r="E41" s="43" t="str">
        <x:v>SLPI</x:v>
      </x:c>
      <x:c r="F41" s="43" t="str">
        <x:v>SLPI</x:v>
      </x:c>
      <x:c r="G41" s="43" t="str">
        <x:v>NO</x:v>
      </x:c>
      <x:c r="H41" s="59" t="n">
        <x:v>2.3881404902707546</x:v>
      </x:c>
      <x:c r="I41" s="59" t="n">
        <x:v>10.337885100265954</x:v>
      </x:c>
      <x:c r="J41" s="55" t="n">
        <x:v>0</x:v>
      </x:c>
      <x:c r="K41" s="55" t="n">
        <x:v>0</x:v>
      </x:c>
      <x:c r="L41" s="44" t="str">
        <x:v>COMPLETE</x:v>
      </x:c>
    </x:row>
    <x:row r="42">
      <x:c r="A42" s="51" t="str">
        <x:v>GSE236713</x:v>
      </x:c>
      <x:c r="B42" s="52" t="str">
        <x:v>SIG034</x:v>
      </x:c>
      <x:c r="C42" s="52" t="str">
        <x:v>ORM1</x:v>
      </x:c>
      <x:c r="D42" s="56" t="n">
        <x:v>1</x:v>
      </x:c>
      <x:c r="E42" s="52" t="str">
        <x:v>ORM1</x:v>
      </x:c>
      <x:c r="F42" s="52" t="str">
        <x:v>ORM1</x:v>
      </x:c>
      <x:c r="G42" s="52" t="str">
        <x:v>NO</x:v>
      </x:c>
      <x:c r="H42" s="60" t="n">
        <x:v>5.164829812114049</x:v>
      </x:c>
      <x:c r="I42" s="60" t="n">
        <x:v>13.246902227040836</x:v>
      </x:c>
      <x:c r="J42" s="56" t="n">
        <x:v>0</x:v>
      </x:c>
      <x:c r="K42" s="56" t="n">
        <x:v>0</x:v>
      </x:c>
      <x:c r="L42" s="53" t="str">
        <x:v>COMPLETE</x:v>
      </x:c>
    </x:row>
    <x:row r="43">
      <x:c r="A43" s="42" t="str">
        <x:v>GSE236713</x:v>
      </x:c>
      <x:c r="B43" s="43" t="str">
        <x:v>SIG034</x:v>
      </x:c>
      <x:c r="C43" s="43" t="str">
        <x:v>KLHL2</x:v>
      </x:c>
      <x:c r="D43" s="55" t="n">
        <x:v>1</x:v>
      </x:c>
      <x:c r="E43" s="43" t="str">
        <x:v>KLHL2</x:v>
      </x:c>
      <x:c r="F43" s="43" t="str">
        <x:v>KLHL2</x:v>
      </x:c>
      <x:c r="G43" s="43" t="str">
        <x:v>NO</x:v>
      </x:c>
      <x:c r="H43" s="59" t="n">
        <x:v>5.1828719202572655</x:v>
      </x:c>
      <x:c r="I43" s="59" t="n">
        <x:v>13.077514277527102</x:v>
      </x:c>
      <x:c r="J43" s="55" t="n">
        <x:v>0</x:v>
      </x:c>
      <x:c r="K43" s="55" t="n">
        <x:v>0</x:v>
      </x:c>
      <x:c r="L43" s="44" t="str">
        <x:v>COMPLETE</x:v>
      </x:c>
    </x:row>
    <x:row r="44">
      <x:c r="A44" s="51" t="str">
        <x:v>GSE236713</x:v>
      </x:c>
      <x:c r="B44" s="52" t="str">
        <x:v>SIG034</x:v>
      </x:c>
      <x:c r="C44" s="52" t="str">
        <x:v>ANXA3</x:v>
      </x:c>
      <x:c r="D44" s="56" t="n">
        <x:v>1</x:v>
      </x:c>
      <x:c r="E44" s="52" t="str">
        <x:v>ANXA3</x:v>
      </x:c>
      <x:c r="F44" s="52" t="str">
        <x:v>ANXA3</x:v>
      </x:c>
      <x:c r="G44" s="52" t="str">
        <x:v>NO</x:v>
      </x:c>
      <x:c r="H44" s="60" t="n">
        <x:v>3.77590340969621</x:v>
      </x:c>
      <x:c r="I44" s="60" t="n">
        <x:v>13.73656238129127</x:v>
      </x:c>
      <x:c r="J44" s="56" t="n">
        <x:v>0</x:v>
      </x:c>
      <x:c r="K44" s="56" t="n">
        <x:v>0</x:v>
      </x:c>
      <x:c r="L44" s="53" t="str">
        <x:v>COMPLETE</x:v>
      </x:c>
    </x:row>
    <x:row r="45">
      <x:c r="A45" s="42" t="str">
        <x:v>GSE236713</x:v>
      </x:c>
      <x:c r="B45" s="43" t="str">
        <x:v>SIG034</x:v>
      </x:c>
      <x:c r="C45" s="43" t="str">
        <x:v>TXN</x:v>
      </x:c>
      <x:c r="D45" s="55" t="n">
        <x:v>1</x:v>
      </x:c>
      <x:c r="E45" s="43" t="str">
        <x:v>TXN</x:v>
      </x:c>
      <x:c r="F45" s="43" t="str">
        <x:v>TXN</x:v>
      </x:c>
      <x:c r="G45" s="43" t="str">
        <x:v>NO</x:v>
      </x:c>
      <x:c r="H45" s="59" t="n">
        <x:v>10.92537851100017</x:v>
      </x:c>
      <x:c r="I45" s="59" t="n">
        <x:v>15.16737314599916</x:v>
      </x:c>
      <x:c r="J45" s="55" t="n">
        <x:v>0</x:v>
      </x:c>
      <x:c r="K45" s="55" t="n">
        <x:v>0</x:v>
      </x:c>
      <x:c r="L45" s="44" t="str">
        <x:v>COMPLETE</x:v>
      </x:c>
    </x:row>
    <x:row r="46">
      <x:c r="A46" s="51" t="str">
        <x:v>GSE236713</x:v>
      </x:c>
      <x:c r="B46" s="52" t="str">
        <x:v>SIG034</x:v>
      </x:c>
      <x:c r="C46" s="52" t="str">
        <x:v>AQP9</x:v>
      </x:c>
      <x:c r="D46" s="56" t="n">
        <x:v>1</x:v>
      </x:c>
      <x:c r="E46" s="52" t="str">
        <x:v>AQP9</x:v>
      </x:c>
      <x:c r="F46" s="52" t="str">
        <x:v>AQP9</x:v>
      </x:c>
      <x:c r="G46" s="52" t="str">
        <x:v>NO</x:v>
      </x:c>
      <x:c r="H46" s="60" t="n">
        <x:v>9.001896740721566</x:v>
      </x:c>
      <x:c r="I46" s="60" t="n">
        <x:v>15.88489358045526</x:v>
      </x:c>
      <x:c r="J46" s="56" t="n">
        <x:v>0</x:v>
      </x:c>
      <x:c r="K46" s="56" t="n">
        <x:v>0</x:v>
      </x:c>
      <x:c r="L46" s="53" t="str">
        <x:v>COMPLETE</x:v>
      </x:c>
    </x:row>
    <x:row r="47">
      <x:c r="A47" s="42" t="str">
        <x:v>GSE236713</x:v>
      </x:c>
      <x:c r="B47" s="43" t="str">
        <x:v>SIG034</x:v>
      </x:c>
      <x:c r="C47" s="43" t="str">
        <x:v>BCL6</x:v>
      </x:c>
      <x:c r="D47" s="55" t="n">
        <x:v>1</x:v>
      </x:c>
      <x:c r="E47" s="43" t="str">
        <x:v>BCL6</x:v>
      </x:c>
      <x:c r="F47" s="43" t="str">
        <x:v>BCL6</x:v>
      </x:c>
      <x:c r="G47" s="43" t="str">
        <x:v>NO</x:v>
      </x:c>
      <x:c r="H47" s="59" t="n">
        <x:v>9.914588606632824</x:v>
      </x:c>
      <x:c r="I47" s="59" t="n">
        <x:v>18.189941381303168</x:v>
      </x:c>
      <x:c r="J47" s="55" t="n">
        <x:v>0</x:v>
      </x:c>
      <x:c r="K47" s="55" t="n">
        <x:v>0</x:v>
      </x:c>
      <x:c r="L47" s="44" t="str">
        <x:v>COMPLETE</x:v>
      </x:c>
    </x:row>
    <x:row r="48">
      <x:c r="A48" s="51" t="str">
        <x:v>GSE236713</x:v>
      </x:c>
      <x:c r="B48" s="52" t="str">
        <x:v>SIG034</x:v>
      </x:c>
      <x:c r="C48" s="52" t="str">
        <x:v>DOK3</x:v>
      </x:c>
      <x:c r="D48" s="56" t="n">
        <x:v>3</x:v>
      </x:c>
      <x:c r="E48" s="52" t="str">
        <x:v>DOK3</x:v>
      </x:c>
      <x:c r="F48" s="52" t="str">
        <x:v>DOK3</x:v>
      </x:c>
      <x:c r="G48" s="52" t="str">
        <x:v>NO</x:v>
      </x:c>
      <x:c r="H48" s="60" t="n">
        <x:v>8.735171023503542</x:v>
      </x:c>
      <x:c r="I48" s="60" t="n">
        <x:v>13.525290968818728</x:v>
      </x:c>
      <x:c r="J48" s="56" t="n">
        <x:v>0</x:v>
      </x:c>
      <x:c r="K48" s="56" t="n">
        <x:v>0</x:v>
      </x:c>
      <x:c r="L48" s="53" t="str">
        <x:v>COMPLETE</x:v>
      </x:c>
    </x:row>
    <x:row r="49">
      <x:c r="A49" s="42" t="str">
        <x:v>GSE236713</x:v>
      </x:c>
      <x:c r="B49" s="43" t="str">
        <x:v>SIG034</x:v>
      </x:c>
      <x:c r="C49" s="43" t="str">
        <x:v>PFKFB4</x:v>
      </x:c>
      <x:c r="D49" s="55" t="n">
        <x:v>1</x:v>
      </x:c>
      <x:c r="E49" s="43" t="str">
        <x:v>PFKFB4</x:v>
      </x:c>
      <x:c r="F49" s="43" t="str">
        <x:v>PFKFB4</x:v>
      </x:c>
      <x:c r="G49" s="43" t="str">
        <x:v>NO</x:v>
      </x:c>
      <x:c r="H49" s="59" t="n">
        <x:v>6.966165696149028</x:v>
      </x:c>
      <x:c r="I49" s="59" t="n">
        <x:v>13.32620276902002</x:v>
      </x:c>
      <x:c r="J49" s="55" t="n">
        <x:v>0</x:v>
      </x:c>
      <x:c r="K49" s="55" t="n">
        <x:v>0</x:v>
      </x:c>
      <x:c r="L49" s="44" t="str">
        <x:v>COMPLETE</x:v>
      </x:c>
    </x:row>
    <x:row r="50">
      <x:c r="A50" s="51" t="str">
        <x:v>GSE236713</x:v>
      </x:c>
      <x:c r="B50" s="52" t="str">
        <x:v>SIG034</x:v>
      </x:c>
      <x:c r="C50" s="52" t="str">
        <x:v>TYK2</x:v>
      </x:c>
      <x:c r="D50" s="56" t="n">
        <x:v>1</x:v>
      </x:c>
      <x:c r="E50" s="52" t="str">
        <x:v>TYK2</x:v>
      </x:c>
      <x:c r="F50" s="52" t="str">
        <x:v>TYK2</x:v>
      </x:c>
      <x:c r="G50" s="52" t="str">
        <x:v>NO</x:v>
      </x:c>
      <x:c r="H50" s="60" t="n">
        <x:v>4.076322339526024</x:v>
      </x:c>
      <x:c r="I50" s="60" t="n">
        <x:v>10.266662675009298</x:v>
      </x:c>
      <x:c r="J50" s="56" t="n">
        <x:v>0</x:v>
      </x:c>
      <x:c r="K50" s="56" t="n">
        <x:v>0</x:v>
      </x:c>
      <x:c r="L50" s="53" t="str">
        <x:v>COMPLETE</x:v>
      </x:c>
    </x:row>
    <x:row r="51">
      <x:c r="A51" s="42" t="str">
        <x:v>GSE236713</x:v>
      </x:c>
      <x:c r="B51" s="43" t="str">
        <x:v>SIG034</x:v>
      </x:c>
      <x:c r="C51" s="43" t="str">
        <x:v>BCL2L11</x:v>
      </x:c>
      <x:c r="D51" s="55" t="n">
        <x:v>3</x:v>
      </x:c>
      <x:c r="E51" s="43" t="str">
        <x:v>BCL2L11</x:v>
      </x:c>
      <x:c r="F51" s="43" t="str">
        <x:v>BCL2L11</x:v>
      </x:c>
      <x:c r="G51" s="43" t="str">
        <x:v>NO</x:v>
      </x:c>
      <x:c r="H51" s="59" t="n">
        <x:v>7.238073418870822</x:v>
      </x:c>
      <x:c r="I51" s="59" t="n">
        <x:v>11.3938007241128</x:v>
      </x:c>
      <x:c r="J51" s="55" t="n">
        <x:v>0</x:v>
      </x:c>
      <x:c r="K51" s="55" t="n">
        <x:v>0</x:v>
      </x:c>
      <x:c r="L51" s="44" t="str">
        <x:v>COMPLETE</x:v>
      </x:c>
    </x:row>
    <x:row r="52">
      <x:c r="A52" s="51" t="str">
        <x:v>GSE236713</x:v>
      </x:c>
      <x:c r="B52" s="52" t="str">
        <x:v>SIG034</x:v>
      </x:c>
      <x:c r="C52" s="52" t="str">
        <x:v>BCAT1</x:v>
      </x:c>
      <x:c r="D52" s="56" t="n">
        <x:v>2</x:v>
      </x:c>
      <x:c r="E52" s="52" t="str">
        <x:v>BCAT1</x:v>
      </x:c>
      <x:c r="F52" s="52" t="str">
        <x:v>BCAT1</x:v>
      </x:c>
      <x:c r="G52" s="52" t="str">
        <x:v>NO</x:v>
      </x:c>
      <x:c r="H52" s="60" t="n">
        <x:v>4.4263616974604485</x:v>
      </x:c>
      <x:c r="I52" s="60" t="n">
        <x:v>9.29028199792748</x:v>
      </x:c>
      <x:c r="J52" s="56" t="n">
        <x:v>0</x:v>
      </x:c>
      <x:c r="K52" s="56" t="n">
        <x:v>0</x:v>
      </x:c>
      <x:c r="L52" s="53" t="str">
        <x:v>COMPLETE</x:v>
      </x:c>
    </x:row>
    <x:row r="53">
      <x:c r="A53" s="42" t="str">
        <x:v>GSE236713</x:v>
      </x:c>
      <x:c r="B53" s="43" t="str">
        <x:v>SIG034</x:v>
      </x:c>
      <x:c r="C53" s="43" t="str">
        <x:v>BTBD7</x:v>
      </x:c>
      <x:c r="D53" s="55" t="n">
        <x:v>4</x:v>
      </x:c>
      <x:c r="E53" s="43" t="str">
        <x:v>BTBD7</x:v>
      </x:c>
      <x:c r="F53" s="43" t="str">
        <x:v>BTBD7</x:v>
      </x:c>
      <x:c r="G53" s="43" t="str">
        <x:v>NO</x:v>
      </x:c>
      <x:c r="H53" s="59" t="n">
        <x:v>5.305145872518548</x:v>
      </x:c>
      <x:c r="I53" s="59" t="n">
        <x:v>7.835168995650072</x:v>
      </x:c>
      <x:c r="J53" s="55" t="n">
        <x:v>0</x:v>
      </x:c>
      <x:c r="K53" s="55" t="n">
        <x:v>0</x:v>
      </x:c>
      <x:c r="L53" s="44" t="str">
        <x:v>COMPLETE</x:v>
      </x:c>
    </x:row>
    <x:row r="54">
      <x:c r="A54" s="51" t="str">
        <x:v>GSE236713</x:v>
      </x:c>
      <x:c r="B54" s="52" t="str">
        <x:v>SIG034</x:v>
      </x:c>
      <x:c r="C54" s="52" t="str">
        <x:v>CEP55</x:v>
      </x:c>
      <x:c r="D54" s="56" t="n">
        <x:v>2</x:v>
      </x:c>
      <x:c r="E54" s="52" t="str">
        <x:v>CEP55</x:v>
      </x:c>
      <x:c r="F54" s="52" t="str">
        <x:v>CEP55</x:v>
      </x:c>
      <x:c r="G54" s="52" t="str">
        <x:v>NO</x:v>
      </x:c>
      <x:c r="H54" s="60" t="n">
        <x:v>2.0318501155906237</x:v>
      </x:c>
      <x:c r="I54" s="60" t="n">
        <x:v>8.900597379461496</x:v>
      </x:c>
      <x:c r="J54" s="56" t="n">
        <x:v>0</x:v>
      </x:c>
      <x:c r="K54" s="56" t="n">
        <x:v>0</x:v>
      </x:c>
      <x:c r="L54" s="53" t="str">
        <x:v>COMPLETE</x:v>
      </x:c>
    </x:row>
    <x:row r="55">
      <x:c r="A55" s="42" t="str">
        <x:v>GSE236713</x:v>
      </x:c>
      <x:c r="B55" s="43" t="str">
        <x:v>SIG034</x:v>
      </x:c>
      <x:c r="C55" s="43" t="str">
        <x:v>HMMR</x:v>
      </x:c>
      <x:c r="D55" s="55" t="n">
        <x:v>1</x:v>
      </x:c>
      <x:c r="E55" s="43" t="str">
        <x:v>HMMR</x:v>
      </x:c>
      <x:c r="F55" s="43" t="str">
        <x:v>HMMR</x:v>
      </x:c>
      <x:c r="G55" s="43" t="str">
        <x:v>NO</x:v>
      </x:c>
      <x:c r="H55" s="59" t="n">
        <x:v>2.385596615004214</x:v>
      </x:c>
      <x:c r="I55" s="59" t="n">
        <x:v>10.91561391347019</x:v>
      </x:c>
      <x:c r="J55" s="55" t="n">
        <x:v>0</x:v>
      </x:c>
      <x:c r="K55" s="55" t="n">
        <x:v>0</x:v>
      </x:c>
      <x:c r="L55" s="44" t="str">
        <x:v>COMPLETE</x:v>
      </x:c>
    </x:row>
    <x:row r="56">
      <x:c r="A56" s="51" t="str">
        <x:v>GSE236713</x:v>
      </x:c>
      <x:c r="B56" s="52" t="str">
        <x:v>SIG034</x:v>
      </x:c>
      <x:c r="C56" s="52" t="str">
        <x:v>PRC1</x:v>
      </x:c>
      <x:c r="D56" s="56" t="n">
        <x:v>1</x:v>
      </x:c>
      <x:c r="E56" s="52" t="str">
        <x:v>PRC1</x:v>
      </x:c>
      <x:c r="F56" s="52" t="str">
        <x:v>PRC1</x:v>
      </x:c>
      <x:c r="G56" s="52" t="str">
        <x:v>NO</x:v>
      </x:c>
      <x:c r="H56" s="60" t="n">
        <x:v>5.2744122179182735</x:v>
      </x:c>
      <x:c r="I56" s="60" t="n">
        <x:v>10.40446327642366</x:v>
      </x:c>
      <x:c r="J56" s="56" t="n">
        <x:v>0</x:v>
      </x:c>
      <x:c r="K56" s="56" t="n">
        <x:v>0</x:v>
      </x:c>
      <x:c r="L56" s="53" t="str">
        <x:v>COMPLETE</x:v>
      </x:c>
    </x:row>
    <x:row r="57">
      <x:c r="A57" s="42" t="str">
        <x:v>GSE236713</x:v>
      </x:c>
      <x:c r="B57" s="43" t="str">
        <x:v>SIG034</x:v>
      </x:c>
      <x:c r="C57" s="43" t="str">
        <x:v>KIF15</x:v>
      </x:c>
      <x:c r="D57" s="55" t="n">
        <x:v>1</x:v>
      </x:c>
      <x:c r="E57" s="43" t="str">
        <x:v>KIF15</x:v>
      </x:c>
      <x:c r="F57" s="43" t="str">
        <x:v>KIF15</x:v>
      </x:c>
      <x:c r="G57" s="43" t="str">
        <x:v>NO</x:v>
      </x:c>
      <x:c r="H57" s="59" t="n">
        <x:v>1.705800672271769</x:v>
      </x:c>
      <x:c r="I57" s="59" t="n">
        <x:v>8.690938257507142</x:v>
      </x:c>
      <x:c r="J57" s="55" t="n">
        <x:v>0</x:v>
      </x:c>
      <x:c r="K57" s="55" t="n">
        <x:v>0</x:v>
      </x:c>
      <x:c r="L57" s="44" t="str">
        <x:v>COMPLETE</x:v>
      </x:c>
    </x:row>
    <x:row r="58">
      <x:c r="A58" s="51" t="str">
        <x:v>GSE236713</x:v>
      </x:c>
      <x:c r="B58" s="52" t="str">
        <x:v>SIG034</x:v>
      </x:c>
      <x:c r="C58" s="52" t="str">
        <x:v>CAMP</x:v>
      </x:c>
      <x:c r="D58" s="56" t="n">
        <x:v>1</x:v>
      </x:c>
      <x:c r="E58" s="52" t="str">
        <x:v>CAMP</x:v>
      </x:c>
      <x:c r="F58" s="52" t="str">
        <x:v>CAMP</x:v>
      </x:c>
      <x:c r="G58" s="52" t="str">
        <x:v>NO</x:v>
      </x:c>
      <x:c r="H58" s="60" t="n">
        <x:v>5.3221059037491</x:v>
      </x:c>
      <x:c r="I58" s="60" t="n">
        <x:v>13.951819774412405</x:v>
      </x:c>
      <x:c r="J58" s="56" t="n">
        <x:v>0</x:v>
      </x:c>
      <x:c r="K58" s="56" t="n">
        <x:v>0</x:v>
      </x:c>
      <x:c r="L58" s="53" t="str">
        <x:v>COMPLETE</x:v>
      </x:c>
    </x:row>
    <x:row r="59">
      <x:c r="A59" s="42" t="str">
        <x:v>GSE236713</x:v>
      </x:c>
      <x:c r="B59" s="43" t="str">
        <x:v>SIG034</x:v>
      </x:c>
      <x:c r="C59" s="43" t="str">
        <x:v>CEACAM8</x:v>
      </x:c>
      <x:c r="D59" s="55" t="n">
        <x:v>1</x:v>
      </x:c>
      <x:c r="E59" s="43" t="str">
        <x:v>CEACAM8</x:v>
      </x:c>
      <x:c r="F59" s="43" t="str">
        <x:v>CEACAM8</x:v>
      </x:c>
      <x:c r="G59" s="43" t="str">
        <x:v>NO</x:v>
      </x:c>
      <x:c r="H59" s="59" t="n">
        <x:v>3.642508449287792</x:v>
      </x:c>
      <x:c r="I59" s="59" t="n">
        <x:v>13.77135279605932</x:v>
      </x:c>
      <x:c r="J59" s="55" t="n">
        <x:v>0</x:v>
      </x:c>
      <x:c r="K59" s="55" t="n">
        <x:v>0</x:v>
      </x:c>
      <x:c r="L59" s="44" t="str">
        <x:v>COMPLETE</x:v>
      </x:c>
    </x:row>
    <x:row r="60">
      <x:c r="A60" s="51" t="str">
        <x:v>GSE236713</x:v>
      </x:c>
      <x:c r="B60" s="52" t="str">
        <x:v>SIG034</x:v>
      </x:c>
      <x:c r="C60" s="52" t="str">
        <x:v>DEFA4</x:v>
      </x:c>
      <x:c r="D60" s="56" t="n">
        <x:v>1</x:v>
      </x:c>
      <x:c r="E60" s="52" t="str">
        <x:v>DEFA4</x:v>
      </x:c>
      <x:c r="F60" s="52" t="str">
        <x:v>DEFA4</x:v>
      </x:c>
      <x:c r="G60" s="52" t="str">
        <x:v>NO</x:v>
      </x:c>
      <x:c r="H60" s="60" t="n">
        <x:v>3.9697523791447367</x:v>
      </x:c>
      <x:c r="I60" s="60" t="n">
        <x:v>14.228108804079088</x:v>
      </x:c>
      <x:c r="J60" s="56" t="n">
        <x:v>0</x:v>
      </x:c>
      <x:c r="K60" s="56" t="n">
        <x:v>0</x:v>
      </x:c>
      <x:c r="L60" s="53" t="str">
        <x:v>COMPLETE</x:v>
      </x:c>
    </x:row>
    <x:row r="61">
      <x:c r="A61" s="42" t="str">
        <x:v>GSE236713</x:v>
      </x:c>
      <x:c r="B61" s="43" t="str">
        <x:v>SIG034</x:v>
      </x:c>
      <x:c r="C61" s="43" t="str">
        <x:v>LCN2</x:v>
      </x:c>
      <x:c r="D61" s="55" t="n">
        <x:v>1</x:v>
      </x:c>
      <x:c r="E61" s="43" t="str">
        <x:v>LCN2</x:v>
      </x:c>
      <x:c r="F61" s="43" t="str">
        <x:v>LCN2</x:v>
      </x:c>
      <x:c r="G61" s="43" t="str">
        <x:v>NO</x:v>
      </x:c>
      <x:c r="H61" s="59" t="n">
        <x:v>2.9712206572537783</x:v>
      </x:c>
      <x:c r="I61" s="59" t="n">
        <x:v>13.005703670149796</x:v>
      </x:c>
      <x:c r="J61" s="55" t="n">
        <x:v>0</x:v>
      </x:c>
      <x:c r="K61" s="55" t="n">
        <x:v>0</x:v>
      </x:c>
      <x:c r="L61" s="44" t="str">
        <x:v>COMPLETE</x:v>
      </x:c>
    </x:row>
    <x:row r="62">
      <x:c r="A62" s="51" t="str">
        <x:v>GSE236713</x:v>
      </x:c>
      <x:c r="B62" s="52" t="str">
        <x:v>SIG034</x:v>
      </x:c>
      <x:c r="C62" s="52" t="str">
        <x:v>CTSG</x:v>
      </x:c>
      <x:c r="D62" s="56" t="n">
        <x:v>1</x:v>
      </x:c>
      <x:c r="E62" s="52" t="str">
        <x:v>CTSG</x:v>
      </x:c>
      <x:c r="F62" s="52" t="str">
        <x:v>CTSG</x:v>
      </x:c>
      <x:c r="G62" s="52" t="str">
        <x:v>NO</x:v>
      </x:c>
      <x:c r="H62" s="60" t="n">
        <x:v>3.995641291317322</x:v>
      </x:c>
      <x:c r="I62" s="60" t="n">
        <x:v>13.84494980430643</x:v>
      </x:c>
      <x:c r="J62" s="56" t="n">
        <x:v>0</x:v>
      </x:c>
      <x:c r="K62" s="56" t="n">
        <x:v>0</x:v>
      </x:c>
      <x:c r="L62" s="53" t="str">
        <x:v>COMPLETE</x:v>
      </x:c>
    </x:row>
    <x:row r="63">
      <x:c r="A63" s="42" t="str">
        <x:v>GSE236713</x:v>
      </x:c>
      <x:c r="B63" s="43" t="str">
        <x:v>SIG034</x:v>
      </x:c>
      <x:c r="C63" s="43" t="str">
        <x:v>AZU1</x:v>
      </x:c>
      <x:c r="D63" s="55" t="n">
        <x:v>1</x:v>
      </x:c>
      <x:c r="E63" s="43" t="str">
        <x:v>AZU1</x:v>
      </x:c>
      <x:c r="F63" s="43" t="str">
        <x:v>AZU1</x:v>
      </x:c>
      <x:c r="G63" s="43" t="str">
        <x:v>NO</x:v>
      </x:c>
      <x:c r="H63" s="59" t="n">
        <x:v>3.473110842262072</x:v>
      </x:c>
      <x:c r="I63" s="59" t="n">
        <x:v>11.814140385894325</x:v>
      </x:c>
      <x:c r="J63" s="55" t="n">
        <x:v>0</x:v>
      </x:c>
      <x:c r="K63" s="55" t="n">
        <x:v>0</x:v>
      </x:c>
      <x:c r="L63" s="44" t="str">
        <x:v>COMPLETE</x:v>
      </x:c>
    </x:row>
    <x:row r="64">
      <x:c r="A64" s="51" t="str">
        <x:v>GSE236713</x:v>
      </x:c>
      <x:c r="B64" s="52" t="str">
        <x:v>SIG034</x:v>
      </x:c>
      <x:c r="C64" s="52" t="str">
        <x:v>MAFB</x:v>
      </x:c>
      <x:c r="D64" s="56" t="n">
        <x:v>2</x:v>
      </x:c>
      <x:c r="E64" s="52" t="str">
        <x:v>MAFB</x:v>
      </x:c>
      <x:c r="F64" s="52" t="str">
        <x:v>MAFB</x:v>
      </x:c>
      <x:c r="G64" s="52" t="str">
        <x:v>NO</x:v>
      </x:c>
      <x:c r="H64" s="60" t="n">
        <x:v>10.712808424536998</x:v>
      </x:c>
      <x:c r="I64" s="60" t="n">
        <x:v>15.979397290605704</x:v>
      </x:c>
      <x:c r="J64" s="56" t="n">
        <x:v>0</x:v>
      </x:c>
      <x:c r="K64" s="56" t="n">
        <x:v>0</x:v>
      </x:c>
      <x:c r="L64" s="53" t="str">
        <x:v>COMPLETE</x:v>
      </x:c>
    </x:row>
    <x:row r="65">
      <x:c r="A65" s="42" t="str">
        <x:v>GSE236713</x:v>
      </x:c>
      <x:c r="B65" s="43" t="str">
        <x:v>SIG034</x:v>
      </x:c>
      <x:c r="C65" s="43" t="str">
        <x:v>OASL</x:v>
      </x:c>
      <x:c r="D65" s="55" t="n">
        <x:v>1</x:v>
      </x:c>
      <x:c r="E65" s="43" t="str">
        <x:v>OASL</x:v>
      </x:c>
      <x:c r="F65" s="43" t="str">
        <x:v>OASL</x:v>
      </x:c>
      <x:c r="G65" s="43" t="str">
        <x:v>NO</x:v>
      </x:c>
      <x:c r="H65" s="59" t="n">
        <x:v>5.216534918188597</x:v>
      </x:c>
      <x:c r="I65" s="59" t="n">
        <x:v>12.82418692818291</x:v>
      </x:c>
      <x:c r="J65" s="55" t="n">
        <x:v>0</x:v>
      </x:c>
      <x:c r="K65" s="55" t="n">
        <x:v>0</x:v>
      </x:c>
      <x:c r="L65" s="44" t="str">
        <x:v>COMPLETE</x:v>
      </x:c>
    </x:row>
    <x:row r="66">
      <x:c r="A66" s="51" t="str">
        <x:v>GSE236713</x:v>
      </x:c>
      <x:c r="B66" s="52" t="str">
        <x:v>SIG034</x:v>
      </x:c>
      <x:c r="C66" s="52" t="str">
        <x:v>UBE2L6</x:v>
      </x:c>
      <x:c r="D66" s="56" t="n">
        <x:v>1</x:v>
      </x:c>
      <x:c r="E66" s="52" t="str">
        <x:v>UBE2L6</x:v>
      </x:c>
      <x:c r="F66" s="52" t="str">
        <x:v>UBE2L6</x:v>
      </x:c>
      <x:c r="G66" s="52" t="str">
        <x:v>NO</x:v>
      </x:c>
      <x:c r="H66" s="60" t="n">
        <x:v>6.800756595752305</x:v>
      </x:c>
      <x:c r="I66" s="60" t="n">
        <x:v>11.706856253024757</x:v>
      </x:c>
      <x:c r="J66" s="56" t="n">
        <x:v>0</x:v>
      </x:c>
      <x:c r="K66" s="56" t="n">
        <x:v>0</x:v>
      </x:c>
      <x:c r="L66" s="53" t="str">
        <x:v>COMPLETE</x:v>
      </x:c>
    </x:row>
    <x:row r="67">
      <x:c r="A67" s="42" t="str">
        <x:v>GSE236713</x:v>
      </x:c>
      <x:c r="B67" s="43" t="str">
        <x:v>SIG034</x:v>
      </x:c>
      <x:c r="C67" s="43" t="str">
        <x:v>VAMP5</x:v>
      </x:c>
      <x:c r="D67" s="55" t="n">
        <x:v>1</x:v>
      </x:c>
      <x:c r="E67" s="43" t="str">
        <x:v>VAMP5</x:v>
      </x:c>
      <x:c r="F67" s="43" t="str">
        <x:v>VAMP5</x:v>
      </x:c>
      <x:c r="G67" s="43" t="str">
        <x:v>NO</x:v>
      </x:c>
      <x:c r="H67" s="59" t="n">
        <x:v>7.739861001920022</x:v>
      </x:c>
      <x:c r="I67" s="59" t="n">
        <x:v>12.992433117499</x:v>
      </x:c>
      <x:c r="J67" s="55" t="n">
        <x:v>0</x:v>
      </x:c>
      <x:c r="K67" s="55" t="n">
        <x:v>0</x:v>
      </x:c>
      <x:c r="L67" s="44" t="str">
        <x:v>COMPLETE</x:v>
      </x:c>
    </x:row>
    <x:row r="68">
      <x:c r="A68" s="51" t="str">
        <x:v>GSE236713</x:v>
      </x:c>
      <x:c r="B68" s="52" t="str">
        <x:v>SIG034</x:v>
      </x:c>
      <x:c r="C68" s="52" t="str">
        <x:v>CCL2</x:v>
      </x:c>
      <x:c r="D68" s="56" t="n">
        <x:v>1</x:v>
      </x:c>
      <x:c r="E68" s="52" t="str">
        <x:v>CCL2</x:v>
      </x:c>
      <x:c r="F68" s="52" t="str">
        <x:v>CCL2</x:v>
      </x:c>
      <x:c r="G68" s="52" t="str">
        <x:v>NO</x:v>
      </x:c>
      <x:c r="H68" s="60" t="n">
        <x:v>0.9406312756017952</x:v>
      </x:c>
      <x:c r="I68" s="60" t="n">
        <x:v>9.531455753287291</x:v>
      </x:c>
      <x:c r="J68" s="56" t="n">
        <x:v>0</x:v>
      </x:c>
      <x:c r="K68" s="56" t="n">
        <x:v>0</x:v>
      </x:c>
      <x:c r="L68" s="53" t="str">
        <x:v>COMPLETE</x:v>
      </x:c>
    </x:row>
    <x:row r="69">
      <x:c r="A69" s="42" t="str">
        <x:v>GSE236713</x:v>
      </x:c>
      <x:c r="B69" s="43" t="str">
        <x:v>SIG034</x:v>
      </x:c>
      <x:c r="C69" s="43" t="str">
        <x:v>NAPA</x:v>
      </x:c>
      <x:c r="D69" s="55" t="n">
        <x:v>1</x:v>
      </x:c>
      <x:c r="E69" s="43" t="str">
        <x:v>NAPA</x:v>
      </x:c>
      <x:c r="F69" s="43" t="str">
        <x:v>NAPA</x:v>
      </x:c>
      <x:c r="G69" s="43" t="str">
        <x:v>NO</x:v>
      </x:c>
      <x:c r="H69" s="59" t="n">
        <x:v>4.676470817785302</x:v>
      </x:c>
      <x:c r="I69" s="59" t="n">
        <x:v>9.92928595436461</x:v>
      </x:c>
      <x:c r="J69" s="55" t="n">
        <x:v>0</x:v>
      </x:c>
      <x:c r="K69" s="55" t="n">
        <x:v>0</x:v>
      </x:c>
      <x:c r="L69" s="44" t="str">
        <x:v>COMPLETE</x:v>
      </x:c>
    </x:row>
    <x:row r="70">
      <x:c r="A70" s="51" t="str">
        <x:v>GSE236713</x:v>
      </x:c>
      <x:c r="B70" s="52" t="str">
        <x:v>SIG034</x:v>
      </x:c>
      <x:c r="C70" s="52" t="str">
        <x:v>ATG3</x:v>
      </x:c>
      <x:c r="D70" s="56" t="n">
        <x:v>1</x:v>
      </x:c>
      <x:c r="E70" s="52" t="str">
        <x:v>ATG3</x:v>
      </x:c>
      <x:c r="F70" s="52" t="str">
        <x:v>ATG3</x:v>
      </x:c>
      <x:c r="G70" s="52" t="str">
        <x:v>NO</x:v>
      </x:c>
      <x:c r="H70" s="60" t="n">
        <x:v>6.887204500657174</x:v>
      </x:c>
      <x:c r="I70" s="60" t="n">
        <x:v>12.109588557463573</x:v>
      </x:c>
      <x:c r="J70" s="56" t="n">
        <x:v>0</x:v>
      </x:c>
      <x:c r="K70" s="56" t="n">
        <x:v>0</x:v>
      </x:c>
      <x:c r="L70" s="53" t="str">
        <x:v>COMPLETE</x:v>
      </x:c>
    </x:row>
    <x:row r="71">
      <x:c r="A71" s="42" t="str">
        <x:v>GSE236713</x:v>
      </x:c>
      <x:c r="B71" s="43" t="str">
        <x:v>SIG034</x:v>
      </x:c>
      <x:c r="C71" s="43" t="str">
        <x:v>VRK2</x:v>
      </x:c>
      <x:c r="D71" s="55" t="n">
        <x:v>1</x:v>
      </x:c>
      <x:c r="E71" s="43" t="str">
        <x:v>VRK2</x:v>
      </x:c>
      <x:c r="F71" s="43" t="str">
        <x:v>VRK2</x:v>
      </x:c>
      <x:c r="G71" s="43" t="str">
        <x:v>NO</x:v>
      </x:c>
      <x:c r="H71" s="59" t="n">
        <x:v>3.342751800919592</x:v>
      </x:c>
      <x:c r="I71" s="59" t="n">
        <x:v>8.012982546785494</x:v>
      </x:c>
      <x:c r="J71" s="55" t="n">
        <x:v>0</x:v>
      </x:c>
      <x:c r="K71" s="55" t="n">
        <x:v>0</x:v>
      </x:c>
      <x:c r="L71" s="44" t="str">
        <x:v>COMPLETE</x:v>
      </x:c>
    </x:row>
    <x:row r="72">
      <x:c r="A72" s="51" t="str">
        <x:v>GSE236713</x:v>
      </x:c>
      <x:c r="B72" s="52" t="str">
        <x:v>SIG034</x:v>
      </x:c>
      <x:c r="C72" s="52" t="str">
        <x:v>TMEM123</x:v>
      </x:c>
      <x:c r="D72" s="56" t="n">
        <x:v>1</x:v>
      </x:c>
      <x:c r="E72" s="52" t="str">
        <x:v>TMEM123</x:v>
      </x:c>
      <x:c r="F72" s="52" t="str">
        <x:v>TMEM123</x:v>
      </x:c>
      <x:c r="G72" s="52" t="str">
        <x:v>NO</x:v>
      </x:c>
      <x:c r="H72" s="60" t="n">
        <x:v>7.217276628612113</x:v>
      </x:c>
      <x:c r="I72" s="60" t="n">
        <x:v>14.222729387991428</x:v>
      </x:c>
      <x:c r="J72" s="56" t="n">
        <x:v>0</x:v>
      </x:c>
      <x:c r="K72" s="56" t="n">
        <x:v>0</x:v>
      </x:c>
      <x:c r="L72" s="53" t="str">
        <x:v>COMPLETE</x:v>
      </x:c>
    </x:row>
    <x:row r="73">
      <x:c r="A73" s="42" t="str">
        <x:v>GSE236713</x:v>
      </x:c>
      <x:c r="B73" s="43" t="str">
        <x:v>SIG034</x:v>
      </x:c>
      <x:c r="C73" s="43" t="str">
        <x:v>CASP7</x:v>
      </x:c>
      <x:c r="D73" s="55" t="n">
        <x:v>2</x:v>
      </x:c>
      <x:c r="E73" s="43" t="str">
        <x:v>CASP7</x:v>
      </x:c>
      <x:c r="F73" s="43" t="str">
        <x:v>CASP7</x:v>
      </x:c>
      <x:c r="G73" s="43" t="str">
        <x:v>NO</x:v>
      </x:c>
      <x:c r="H73" s="59" t="n">
        <x:v>4.586747563476555</x:v>
      </x:c>
      <x:c r="I73" s="59" t="n">
        <x:v>9.195505279547769</x:v>
      </x:c>
      <x:c r="J73" s="55" t="n">
        <x:v>0</x:v>
      </x:c>
      <x:c r="K73" s="55" t="n">
        <x:v>0</x:v>
      </x:c>
      <x:c r="L73" s="44" t="str">
        <x:v>COMPLETE</x:v>
      </x:c>
    </x:row>
    <x:row r="74">
      <x:c r="A74" s="51" t="str">
        <x:v>GSE236713</x:v>
      </x:c>
      <x:c r="B74" s="52" t="str">
        <x:v>SIG034</x:v>
      </x:c>
      <x:c r="C74" s="52" t="str">
        <x:v>DOK2</x:v>
      </x:c>
      <x:c r="D74" s="56" t="n">
        <x:v>1</x:v>
      </x:c>
      <x:c r="E74" s="52" t="str">
        <x:v>DOK2</x:v>
      </x:c>
      <x:c r="F74" s="52" t="str">
        <x:v>DOK2</x:v>
      </x:c>
      <x:c r="G74" s="52" t="str">
        <x:v>NO</x:v>
      </x:c>
      <x:c r="H74" s="60" t="n">
        <x:v>4.685266445418673</x:v>
      </x:c>
      <x:c r="I74" s="60" t="n">
        <x:v>11.606536262927987</x:v>
      </x:c>
      <x:c r="J74" s="56" t="n">
        <x:v>0</x:v>
      </x:c>
      <x:c r="K74" s="56" t="n">
        <x:v>0</x:v>
      </x:c>
      <x:c r="L74" s="53" t="str">
        <x:v>COMPLETE</x:v>
      </x:c>
    </x:row>
    <x:row r="75">
      <x:c r="A75" s="42" t="str">
        <x:v>GSE236713</x:v>
      </x:c>
      <x:c r="B75" s="43" t="str">
        <x:v>SIG034</x:v>
      </x:c>
      <x:c r="C75" s="43" t="str">
        <x:v>HLA-DPB1</x:v>
      </x:c>
      <x:c r="D75" s="55" t="n">
        <x:v>5</x:v>
      </x:c>
      <x:c r="E75" s="43" t="str">
        <x:v>HLA-DPB1</x:v>
      </x:c>
      <x:c r="F75" s="43" t="str">
        <x:v>HLA-DPB1</x:v>
      </x:c>
      <x:c r="G75" s="43" t="str">
        <x:v>NO</x:v>
      </x:c>
      <x:c r="H75" s="59" t="n">
        <x:v>8.074954421963643</x:v>
      </x:c>
      <x:c r="I75" s="59" t="n">
        <x:v>12.933013472450616</x:v>
      </x:c>
      <x:c r="J75" s="55" t="n">
        <x:v>0</x:v>
      </x:c>
      <x:c r="K75" s="55" t="n">
        <x:v>0</x:v>
      </x:c>
      <x:c r="L75" s="44" t="str">
        <x:v>COMPLETE</x:v>
      </x:c>
    </x:row>
    <x:row r="76">
      <x:c r="A76" s="51" t="str">
        <x:v>GSE236713</x:v>
      </x:c>
      <x:c r="B76" s="52" t="str">
        <x:v>SIG034</x:v>
      </x:c>
      <x:c r="C76" s="52" t="str">
        <x:v>BUB3</x:v>
      </x:c>
      <x:c r="D76" s="56" t="n">
        <x:v>2</x:v>
      </x:c>
      <x:c r="E76" s="52" t="str">
        <x:v>BUB3</x:v>
      </x:c>
      <x:c r="F76" s="52" t="str">
        <x:v>BUB3</x:v>
      </x:c>
      <x:c r="G76" s="52" t="str">
        <x:v>NO</x:v>
      </x:c>
      <x:c r="H76" s="60" t="n">
        <x:v>6.283738016717113</x:v>
      </x:c>
      <x:c r="I76" s="60" t="n">
        <x:v>10.80450514151799</x:v>
      </x:c>
      <x:c r="J76" s="56" t="n">
        <x:v>0</x:v>
      </x:c>
      <x:c r="K76" s="56" t="n">
        <x:v>0</x:v>
      </x:c>
      <x:c r="L76" s="53" t="str">
        <x:v>COMPLETE</x:v>
      </x:c>
    </x:row>
    <x:row r="77">
      <x:c r="A77" s="42" t="str">
        <x:v>GSE236713</x:v>
      </x:c>
      <x:c r="B77" s="43" t="str">
        <x:v>SIG034</x:v>
      </x:c>
      <x:c r="C77" s="43" t="str">
        <x:v>SMYD2</x:v>
      </x:c>
      <x:c r="D77" s="55" t="n">
        <x:v>1</x:v>
      </x:c>
      <x:c r="E77" s="43" t="str">
        <x:v>SMYD2</x:v>
      </x:c>
      <x:c r="F77" s="43" t="str">
        <x:v>SMYD2</x:v>
      </x:c>
      <x:c r="G77" s="43" t="str">
        <x:v>NO</x:v>
      </x:c>
      <x:c r="H77" s="59" t="n">
        <x:v>5.678782594885825</x:v>
      </x:c>
      <x:c r="I77" s="59" t="n">
        <x:v>11.495233494330776</x:v>
      </x:c>
      <x:c r="J77" s="55" t="n">
        <x:v>0</x:v>
      </x:c>
      <x:c r="K77" s="55" t="n">
        <x:v>0</x:v>
      </x:c>
      <x:c r="L77" s="44" t="str">
        <x:v>COMPLETE</x:v>
      </x:c>
    </x:row>
    <x:row r="78">
      <x:c r="A78" s="51" t="str">
        <x:v>GSE236713</x:v>
      </x:c>
      <x:c r="B78" s="52" t="str">
        <x:v>SIG034</x:v>
      </x:c>
      <x:c r="C78" s="52" t="str">
        <x:v>SIDT1</x:v>
      </x:c>
      <x:c r="D78" s="56" t="n">
        <x:v>1</x:v>
      </x:c>
      <x:c r="E78" s="52" t="str">
        <x:v>SIDT1</x:v>
      </x:c>
      <x:c r="F78" s="52" t="str">
        <x:v>SIDT1</x:v>
      </x:c>
      <x:c r="G78" s="52" t="str">
        <x:v>NO</x:v>
      </x:c>
      <x:c r="H78" s="60" t="n">
        <x:v>3.3138675576076992</x:v>
      </x:c>
      <x:c r="I78" s="60" t="n">
        <x:v>9.829388633987351</x:v>
      </x:c>
      <x:c r="J78" s="56" t="n">
        <x:v>0</x:v>
      </x:c>
      <x:c r="K78" s="56" t="n">
        <x:v>0</x:v>
      </x:c>
      <x:c r="L78" s="53" t="str">
        <x:v>COMPLETE</x:v>
      </x:c>
    </x:row>
    <x:row r="79">
      <x:c r="A79" s="42" t="str">
        <x:v>GSE236713</x:v>
      </x:c>
      <x:c r="B79" s="43" t="str">
        <x:v>SIG034</x:v>
      </x:c>
      <x:c r="C79" s="43" t="str">
        <x:v>EXOC2</x:v>
      </x:c>
      <x:c r="D79" s="55" t="n">
        <x:v>1</x:v>
      </x:c>
      <x:c r="E79" s="43" t="str">
        <x:v>EXOC2</x:v>
      </x:c>
      <x:c r="F79" s="43" t="str">
        <x:v>EXOC2</x:v>
      </x:c>
      <x:c r="G79" s="43" t="str">
        <x:v>NO</x:v>
      </x:c>
      <x:c r="H79" s="59" t="n">
        <x:v>3.2777578866849644</x:v>
      </x:c>
      <x:c r="I79" s="59" t="n">
        <x:v>6.854640762574512</x:v>
      </x:c>
      <x:c r="J79" s="55" t="n">
        <x:v>0</x:v>
      </x:c>
      <x:c r="K79" s="55" t="n">
        <x:v>0</x:v>
      </x:c>
      <x:c r="L79" s="44" t="str">
        <x:v>COMPLETE</x:v>
      </x:c>
    </x:row>
    <x:row r="80">
      <x:c r="A80" s="51" t="str">
        <x:v>GSE236713</x:v>
      </x:c>
      <x:c r="B80" s="52" t="str">
        <x:v>SIG034</x:v>
      </x:c>
      <x:c r="C80" s="52" t="str">
        <x:v>TRIB2</x:v>
      </x:c>
      <x:c r="D80" s="56" t="n">
        <x:v>2</x:v>
      </x:c>
      <x:c r="E80" s="52" t="str">
        <x:v>TRIB2</x:v>
      </x:c>
      <x:c r="F80" s="52" t="str">
        <x:v>TRIB2</x:v>
      </x:c>
      <x:c r="G80" s="52" t="str">
        <x:v>NO</x:v>
      </x:c>
      <x:c r="H80" s="60" t="n">
        <x:v>3.6175944662652473</x:v>
      </x:c>
      <x:c r="I80" s="60" t="n">
        <x:v>9.794654340398548</x:v>
      </x:c>
      <x:c r="J80" s="56" t="n">
        <x:v>0</x:v>
      </x:c>
      <x:c r="K80" s="56" t="n">
        <x:v>0</x:v>
      </x:c>
      <x:c r="L80" s="53" t="str">
        <x:v>COMPLETE</x:v>
      </x:c>
    </x:row>
    <x:row r="81">
      <x:c r="A81" s="42" t="str">
        <x:v>GSE236713</x:v>
      </x:c>
      <x:c r="B81" s="43" t="str">
        <x:v>SIG034</x:v>
      </x:c>
      <x:c r="C81" s="43" t="str">
        <x:v>KLRB1</x:v>
      </x:c>
      <x:c r="D81" s="55" t="n">
        <x:v>1</x:v>
      </x:c>
      <x:c r="E81" s="43" t="str">
        <x:v>KLRB1</x:v>
      </x:c>
      <x:c r="F81" s="43" t="str">
        <x:v>KLRB1</x:v>
      </x:c>
      <x:c r="G81" s="43" t="str">
        <x:v>NO</x:v>
      </x:c>
      <x:c r="H81" s="59" t="n">
        <x:v>7.194898452490391</x:v>
      </x:c>
      <x:c r="I81" s="59" t="n">
        <x:v>13.689983151655229</x:v>
      </x:c>
      <x:c r="J81" s="55" t="n">
        <x:v>0</x:v>
      </x:c>
      <x:c r="K81" s="55" t="n">
        <x:v>0</x:v>
      </x:c>
      <x:c r="L81" s="44" t="str">
        <x:v>COMPLETE</x:v>
      </x:c>
    </x:row>
    <x:row r="82">
      <x:c r="A82" s="51" t="str">
        <x:v>GSE57065</x:v>
      </x:c>
      <x:c r="B82" s="52" t="str">
        <x:v>SIG001</x:v>
      </x:c>
      <x:c r="C82" s="52" t="str">
        <x:v>CEACAM1</x:v>
      </x:c>
      <x:c r="D82" s="56" t="n">
        <x:v>5</x:v>
      </x:c>
      <x:c r="E82" s="52" t="str">
        <x:v>CEACAM1</x:v>
      </x:c>
      <x:c r="F82" s="52" t="str">
        <x:v>CEACAM1</x:v>
      </x:c>
      <x:c r="G82" s="52" t="str">
        <x:v>NO</x:v>
      </x:c>
      <x:c r="H82" s="60" t="n">
        <x:v>5.1285739999999995</x:v>
      </x:c>
      <x:c r="I82" s="60" t="n">
        <x:v>10.322998</x:v>
      </x:c>
      <x:c r="J82" s="56" t="n">
        <x:v>0</x:v>
      </x:c>
      <x:c r="K82" s="56" t="n">
        <x:v>0</x:v>
      </x:c>
      <x:c r="L82" s="53" t="str">
        <x:v>COMPLETE</x:v>
      </x:c>
    </x:row>
    <x:row r="83">
      <x:c r="A83" s="42" t="str">
        <x:v>GSE57065</x:v>
      </x:c>
      <x:c r="B83" s="43" t="str">
        <x:v>SIG001</x:v>
      </x:c>
      <x:c r="C83" s="43" t="str">
        <x:v>ZDHHC19</x:v>
      </x:c>
      <x:c r="D83" s="55" t="n">
        <x:v>2</x:v>
      </x:c>
      <x:c r="E83" s="43" t="str">
        <x:v>ZDHHC19</x:v>
      </x:c>
      <x:c r="F83" s="43" t="str">
        <x:v>ZDHHC19</x:v>
      </x:c>
      <x:c r="G83" s="43" t="str">
        <x:v>NO</x:v>
      </x:c>
      <x:c r="H83" s="59" t="n">
        <x:v>4.146735</x:v>
      </x:c>
      <x:c r="I83" s="59" t="n">
        <x:v>9.173815</x:v>
      </x:c>
      <x:c r="J83" s="55" t="n">
        <x:v>0</x:v>
      </x:c>
      <x:c r="K83" s="55" t="n">
        <x:v>0</x:v>
      </x:c>
      <x:c r="L83" s="44" t="str">
        <x:v>COMPLETE</x:v>
      </x:c>
    </x:row>
    <x:row r="84">
      <x:c r="A84" s="51" t="str">
        <x:v>GSE57065</x:v>
      </x:c>
      <x:c r="B84" s="52" t="str">
        <x:v>SIG001</x:v>
      </x:c>
      <x:c r="C84" s="52" t="str">
        <x:v>NMRK1</x:v>
      </x:c>
      <x:c r="D84" s="56" t="n">
        <x:v>2</x:v>
      </x:c>
      <x:c r="E84" s="52" t="str">
        <x:v>NMRK1</x:v>
      </x:c>
      <x:c r="F84" s="52" t="str">
        <x:v>NMRK1</x:v>
      </x:c>
      <x:c r="G84" s="52" t="str">
        <x:v>NO</x:v>
      </x:c>
      <x:c r="H84" s="60" t="n">
        <x:v>5.024845</x:v>
      </x:c>
      <x:c r="I84" s="60" t="n">
        <x:v>7.37085</x:v>
      </x:c>
      <x:c r="J84" s="56" t="n">
        <x:v>0</x:v>
      </x:c>
      <x:c r="K84" s="56" t="n">
        <x:v>0</x:v>
      </x:c>
      <x:c r="L84" s="53" t="str">
        <x:v>COMPLETE</x:v>
      </x:c>
    </x:row>
    <x:row r="85">
      <x:c r="A85" s="42" t="str">
        <x:v>GSE57065</x:v>
      </x:c>
      <x:c r="B85" s="43" t="str">
        <x:v>SIG001</x:v>
      </x:c>
      <x:c r="C85" s="43" t="str">
        <x:v>GNA15</x:v>
      </x:c>
      <x:c r="D85" s="55" t="n">
        <x:v>1</x:v>
      </x:c>
      <x:c r="E85" s="43" t="str">
        <x:v>GNA15</x:v>
      </x:c>
      <x:c r="F85" s="43" t="str">
        <x:v>GNA15</x:v>
      </x:c>
      <x:c r="G85" s="43" t="str">
        <x:v>NO</x:v>
      </x:c>
      <x:c r="H85" s="59" t="n">
        <x:v>6.07887</x:v>
      </x:c>
      <x:c r="I85" s="59" t="n">
        <x:v>8.5701</x:v>
      </x:c>
      <x:c r="J85" s="55" t="n">
        <x:v>0</x:v>
      </x:c>
      <x:c r="K85" s="55" t="n">
        <x:v>0</x:v>
      </x:c>
      <x:c r="L85" s="44" t="str">
        <x:v>COMPLETE</x:v>
      </x:c>
    </x:row>
    <x:row r="86">
      <x:c r="A86" s="51" t="str">
        <x:v>GSE57065</x:v>
      </x:c>
      <x:c r="B86" s="52" t="str">
        <x:v>SIG001</x:v>
      </x:c>
      <x:c r="C86" s="52" t="str">
        <x:v>BATF</x:v>
      </x:c>
      <x:c r="D86" s="56" t="n">
        <x:v>1</x:v>
      </x:c>
      <x:c r="E86" s="52" t="str">
        <x:v>BATF</x:v>
      </x:c>
      <x:c r="F86" s="52" t="str">
        <x:v>BATF</x:v>
      </x:c>
      <x:c r="G86" s="52" t="str">
        <x:v>NO</x:v>
      </x:c>
      <x:c r="H86" s="60" t="n">
        <x:v>6.5188</x:v>
      </x:c>
      <x:c r="I86" s="60" t="n">
        <x:v>8.66216</x:v>
      </x:c>
      <x:c r="J86" s="56" t="n">
        <x:v>0</x:v>
      </x:c>
      <x:c r="K86" s="56" t="n">
        <x:v>0</x:v>
      </x:c>
      <x:c r="L86" s="53" t="str">
        <x:v>COMPLETE</x:v>
      </x:c>
    </x:row>
    <x:row r="87">
      <x:c r="A87" s="42" t="str">
        <x:v>GSE57065</x:v>
      </x:c>
      <x:c r="B87" s="43" t="str">
        <x:v>SIG001</x:v>
      </x:c>
      <x:c r="C87" s="43" t="str">
        <x:v>C3AR1</x:v>
      </x:c>
      <x:c r="D87" s="55" t="n">
        <x:v>1</x:v>
      </x:c>
      <x:c r="E87" s="43" t="str">
        <x:v>C3AR1</x:v>
      </x:c>
      <x:c r="F87" s="43" t="str">
        <x:v>C3AR1</x:v>
      </x:c>
      <x:c r="G87" s="43" t="str">
        <x:v>NO</x:v>
      </x:c>
      <x:c r="H87" s="59" t="n">
        <x:v>6.40421</x:v>
      </x:c>
      <x:c r="I87" s="59" t="n">
        <x:v>11.5402</x:v>
      </x:c>
      <x:c r="J87" s="55" t="n">
        <x:v>0</x:v>
      </x:c>
      <x:c r="K87" s="55" t="n">
        <x:v>0</x:v>
      </x:c>
      <x:c r="L87" s="44" t="str">
        <x:v>COMPLETE</x:v>
      </x:c>
    </x:row>
    <x:row r="88">
      <x:c r="A88" s="51" t="str">
        <x:v>GSE57065</x:v>
      </x:c>
      <x:c r="B88" s="52" t="str">
        <x:v>SIG001</x:v>
      </x:c>
      <x:c r="C88" s="52" t="str">
        <x:v>FAM214A</x:v>
      </x:c>
      <x:c r="D88" s="56" t="n">
        <x:v>2</x:v>
      </x:c>
      <x:c r="E88" s="52" t="str">
        <x:v>FAM214A</x:v>
      </x:c>
      <x:c r="F88" s="52" t="str">
        <x:v>FAM214A</x:v>
      </x:c>
      <x:c r="G88" s="52" t="str">
        <x:v>NO</x:v>
      </x:c>
      <x:c r="H88" s="60" t="n">
        <x:v>4.39612</x:v>
      </x:c>
      <x:c r="I88" s="60" t="n">
        <x:v>6.67178</x:v>
      </x:c>
      <x:c r="J88" s="56" t="n">
        <x:v>0</x:v>
      </x:c>
      <x:c r="K88" s="56" t="n">
        <x:v>0</x:v>
      </x:c>
      <x:c r="L88" s="53" t="str">
        <x:v>COMPLETE</x:v>
      </x:c>
    </x:row>
    <x:row r="89">
      <x:c r="A89" s="42" t="str">
        <x:v>GSE57065</x:v>
      </x:c>
      <x:c r="B89" s="43" t="str">
        <x:v>SIG001</x:v>
      </x:c>
      <x:c r="C89" s="43" t="str">
        <x:v>TGFBI</x:v>
      </x:c>
      <x:c r="D89" s="55" t="n">
        <x:v>1</x:v>
      </x:c>
      <x:c r="E89" s="43" t="str">
        <x:v>TGFBI</x:v>
      </x:c>
      <x:c r="F89" s="43" t="str">
        <x:v>TGFBI</x:v>
      </x:c>
      <x:c r="G89" s="43" t="str">
        <x:v>NO</x:v>
      </x:c>
      <x:c r="H89" s="59" t="n">
        <x:v>3.75619</x:v>
      </x:c>
      <x:c r="I89" s="59" t="n">
        <x:v>10.1638</x:v>
      </x:c>
      <x:c r="J89" s="55" t="n">
        <x:v>0</x:v>
      </x:c>
      <x:c r="K89" s="55" t="n">
        <x:v>0</x:v>
      </x:c>
      <x:c r="L89" s="44" t="str">
        <x:v>COMPLETE</x:v>
      </x:c>
    </x:row>
    <x:row r="90">
      <x:c r="A90" s="51" t="str">
        <x:v>GSE57065</x:v>
      </x:c>
      <x:c r="B90" s="52" t="str">
        <x:v>SIG001</x:v>
      </x:c>
      <x:c r="C90" s="52" t="str">
        <x:v>MTCH1</x:v>
      </x:c>
      <x:c r="D90" s="56" t="n">
        <x:v>1</x:v>
      </x:c>
      <x:c r="E90" s="52" t="str">
        <x:v>MTCH1</x:v>
      </x:c>
      <x:c r="F90" s="52" t="str">
        <x:v>MTCH1</x:v>
      </x:c>
      <x:c r="G90" s="52" t="str">
        <x:v>NO</x:v>
      </x:c>
      <x:c r="H90" s="60" t="n">
        <x:v>8.32831</x:v>
      </x:c>
      <x:c r="I90" s="60" t="n">
        <x:v>9.75001</x:v>
      </x:c>
      <x:c r="J90" s="56" t="n">
        <x:v>0</x:v>
      </x:c>
      <x:c r="K90" s="56" t="n">
        <x:v>0</x:v>
      </x:c>
      <x:c r="L90" s="53" t="str">
        <x:v>COMPLETE</x:v>
      </x:c>
    </x:row>
    <x:row r="91">
      <x:c r="A91" s="42" t="str">
        <x:v>GSE57065</x:v>
      </x:c>
      <x:c r="B91" s="43" t="str">
        <x:v>SIG001</x:v>
      </x:c>
      <x:c r="C91" s="43" t="str">
        <x:v>RPGRIP1</x:v>
      </x:c>
      <x:c r="D91" s="55" t="n">
        <x:v>1</x:v>
      </x:c>
      <x:c r="E91" s="43" t="str">
        <x:v>RPGRIP1</x:v>
      </x:c>
      <x:c r="F91" s="43" t="str">
        <x:v>RPGRIP1</x:v>
      </x:c>
      <x:c r="G91" s="43" t="str">
        <x:v>NO</x:v>
      </x:c>
      <x:c r="H91" s="59" t="n">
        <x:v>3.65847</x:v>
      </x:c>
      <x:c r="I91" s="59" t="n">
        <x:v>5.44066</x:v>
      </x:c>
      <x:c r="J91" s="55" t="n">
        <x:v>0</x:v>
      </x:c>
      <x:c r="K91" s="55" t="n">
        <x:v>0</x:v>
      </x:c>
      <x:c r="L91" s="44" t="str">
        <x:v>COMPLETE</x:v>
      </x:c>
    </x:row>
    <x:row r="92">
      <x:c r="A92" s="51" t="str">
        <x:v>GSE57065</x:v>
      </x:c>
      <x:c r="B92" s="52" t="str">
        <x:v>SIG001</x:v>
      </x:c>
      <x:c r="C92" s="52" t="str">
        <x:v>HLA-DPB1</x:v>
      </x:c>
      <x:c r="D92" s="56" t="n">
        <x:v>2</x:v>
      </x:c>
      <x:c r="E92" s="52" t="str">
        <x:v>HLA-DPB1</x:v>
      </x:c>
      <x:c r="F92" s="52" t="str">
        <x:v>HLA-DPB1</x:v>
      </x:c>
      <x:c r="G92" s="52" t="str">
        <x:v>NO</x:v>
      </x:c>
      <x:c r="H92" s="60" t="n">
        <x:v>5.00229</x:v>
      </x:c>
      <x:c r="I92" s="60" t="n">
        <x:v>7.72585</x:v>
      </x:c>
      <x:c r="J92" s="56" t="n">
        <x:v>0</x:v>
      </x:c>
      <x:c r="K92" s="56" t="n">
        <x:v>0</x:v>
      </x:c>
      <x:c r="L92" s="53" t="str">
        <x:v>COMPLETE</x:v>
      </x:c>
    </x:row>
    <x:row r="93">
      <x:c r="A93" s="42" t="str">
        <x:v>GSE57065</x:v>
      </x:c>
      <x:c r="B93" s="43" t="str">
        <x:v>SIG002</x:v>
      </x:c>
      <x:c r="C93" s="43" t="str">
        <x:v>PLAC8</x:v>
      </x:c>
      <x:c r="D93" s="55" t="n">
        <x:v>1</x:v>
      </x:c>
      <x:c r="E93" s="43" t="str">
        <x:v>PLAC8</x:v>
      </x:c>
      <x:c r="F93" s="43" t="str">
        <x:v>PLAC8</x:v>
      </x:c>
      <x:c r="G93" s="43" t="str">
        <x:v>NO</x:v>
      </x:c>
      <x:c r="H93" s="59" t="n">
        <x:v>9.13386</x:v>
      </x:c>
      <x:c r="I93" s="59" t="n">
        <x:v>13.3078</x:v>
      </x:c>
      <x:c r="J93" s="55" t="n">
        <x:v>0</x:v>
      </x:c>
      <x:c r="K93" s="55" t="n">
        <x:v>0</x:v>
      </x:c>
      <x:c r="L93" s="44" t="str">
        <x:v>COMPLETE</x:v>
      </x:c>
    </x:row>
    <x:row r="94">
      <x:c r="A94" s="51" t="str">
        <x:v>GSE57065</x:v>
      </x:c>
      <x:c r="B94" s="52" t="str">
        <x:v>SIG002</x:v>
      </x:c>
      <x:c r="C94" s="52" t="str">
        <x:v>LAMP1</x:v>
      </x:c>
      <x:c r="D94" s="56" t="n">
        <x:v>4</x:v>
      </x:c>
      <x:c r="E94" s="52" t="str">
        <x:v>LAMP1</x:v>
      </x:c>
      <x:c r="F94" s="52" t="str">
        <x:v>LAMP1</x:v>
      </x:c>
      <x:c r="G94" s="52" t="str">
        <x:v>NO</x:v>
      </x:c>
      <x:c r="H94" s="60" t="n">
        <x:v>6.935675000000001</x:v>
      </x:c>
      <x:c r="I94" s="60" t="n">
        <x:v>8.743265000000001</x:v>
      </x:c>
      <x:c r="J94" s="56" t="n">
        <x:v>0</x:v>
      </x:c>
      <x:c r="K94" s="56" t="n">
        <x:v>0</x:v>
      </x:c>
      <x:c r="L94" s="53" t="str">
        <x:v>COMPLETE</x:v>
      </x:c>
    </x:row>
    <x:row r="95">
      <x:c r="A95" s="42" t="str">
        <x:v>GSE57065</x:v>
      </x:c>
      <x:c r="B95" s="43" t="str">
        <x:v>SIG002</x:v>
      </x:c>
      <x:c r="C95" s="43" t="str">
        <x:v>PLA2G7</x:v>
      </x:c>
      <x:c r="D95" s="55" t="n">
        <x:v>1</x:v>
      </x:c>
      <x:c r="E95" s="43" t="str">
        <x:v>PLA2G7</x:v>
      </x:c>
      <x:c r="F95" s="43" t="str">
        <x:v>PLA2G7</x:v>
      </x:c>
      <x:c r="G95" s="43" t="str">
        <x:v>NO</x:v>
      </x:c>
      <x:c r="H95" s="59" t="n">
        <x:v>2.01806</x:v>
      </x:c>
      <x:c r="I95" s="59" t="n">
        <x:v>5.72387</x:v>
      </x:c>
      <x:c r="J95" s="55" t="n">
        <x:v>0</x:v>
      </x:c>
      <x:c r="K95" s="55" t="n">
        <x:v>0</x:v>
      </x:c>
      <x:c r="L95" s="44" t="str">
        <x:v>COMPLETE</x:v>
      </x:c>
    </x:row>
    <x:row r="96">
      <x:c r="A96" s="51" t="str">
        <x:v>GSE57065</x:v>
      </x:c>
      <x:c r="B96" s="52" t="str">
        <x:v>SIG002</x:v>
      </x:c>
      <x:c r="C96" s="52" t="str">
        <x:v>CEACAM4</x:v>
      </x:c>
      <x:c r="D96" s="56" t="n">
        <x:v>1</x:v>
      </x:c>
      <x:c r="E96" s="52" t="str">
        <x:v>CEACAM4</x:v>
      </x:c>
      <x:c r="F96" s="52" t="str">
        <x:v>CEACAM4</x:v>
      </x:c>
      <x:c r="G96" s="52" t="str">
        <x:v>NO</x:v>
      </x:c>
      <x:c r="H96" s="60" t="n">
        <x:v>6.51164</x:v>
      </x:c>
      <x:c r="I96" s="60" t="n">
        <x:v>9.57307</x:v>
      </x:c>
      <x:c r="J96" s="56" t="n">
        <x:v>0</x:v>
      </x:c>
      <x:c r="K96" s="56" t="n">
        <x:v>0</x:v>
      </x:c>
      <x:c r="L96" s="53" t="str">
        <x:v>COMPLETE</x:v>
      </x:c>
    </x:row>
    <x:row r="97">
      <x:c r="A97" s="42" t="str">
        <x:v>GSE57065</x:v>
      </x:c>
      <x:c r="B97" s="43" t="str">
        <x:v>SIG003</x:v>
      </x:c>
      <x:c r="C97" s="43" t="str">
        <x:v>FAIM3</x:v>
      </x:c>
      <x:c r="D97" s="55" t="n">
        <x:v>2</x:v>
      </x:c>
      <x:c r="E97" s="43" t="str">
        <x:v>FCMR</x:v>
      </x:c>
      <x:c r="F97" s="43" t="str">
        <x:v>FAIM3</x:v>
      </x:c>
      <x:c r="G97" s="43" t="str">
        <x:v>YES</x:v>
      </x:c>
      <x:c r="H97" s="59" t="n">
        <x:v>5.4529049999999994</x:v>
      </x:c>
      <x:c r="I97" s="59" t="n">
        <x:v>10.324</x:v>
      </x:c>
      <x:c r="J97" s="55" t="n">
        <x:v>0</x:v>
      </x:c>
      <x:c r="K97" s="55" t="n">
        <x:v>0</x:v>
      </x:c>
      <x:c r="L97" s="44" t="str">
        <x:v>COMPLETE</x:v>
      </x:c>
    </x:row>
    <x:row r="98">
      <x:c r="A98" s="51" t="str">
        <x:v>GSE57065</x:v>
      </x:c>
      <x:c r="B98" s="52" t="str">
        <x:v>SIG003</x:v>
      </x:c>
      <x:c r="C98" s="52" t="str">
        <x:v>PLAC8</x:v>
      </x:c>
      <x:c r="D98" s="56" t="n">
        <x:v>1</x:v>
      </x:c>
      <x:c r="E98" s="52" t="str">
        <x:v>PLAC8</x:v>
      </x:c>
      <x:c r="F98" s="52" t="str">
        <x:v>PLAC8</x:v>
      </x:c>
      <x:c r="G98" s="52" t="str">
        <x:v>NO</x:v>
      </x:c>
      <x:c r="H98" s="60" t="n">
        <x:v>9.13386</x:v>
      </x:c>
      <x:c r="I98" s="60" t="n">
        <x:v>13.3078</x:v>
      </x:c>
      <x:c r="J98" s="56" t="n">
        <x:v>0</x:v>
      </x:c>
      <x:c r="K98" s="56" t="n">
        <x:v>0</x:v>
      </x:c>
      <x:c r="L98" s="53" t="str">
        <x:v>COMPLETE</x:v>
      </x:c>
    </x:row>
    <x:row r="99">
      <x:c r="A99" s="42" t="str">
        <x:v>GSE57065</x:v>
      </x:c>
      <x:c r="B99" s="43" t="str">
        <x:v>SIG004</x:v>
      </x:c>
      <x:c r="C99" s="43" t="str">
        <x:v>NLRP1</x:v>
      </x:c>
      <x:c r="D99" s="55" t="n">
        <x:v>5</x:v>
      </x:c>
      <x:c r="E99" s="43" t="str">
        <x:v>NLRP1</x:v>
      </x:c>
      <x:c r="F99" s="43" t="str">
        <x:v>NLRP1</x:v>
      </x:c>
      <x:c r="G99" s="43" t="str">
        <x:v>NO</x:v>
      </x:c>
      <x:c r="H99" s="59" t="n">
        <x:v>4.422582</x:v>
      </x:c>
      <x:c r="I99" s="59" t="n">
        <x:v>6.398798000000001</x:v>
      </x:c>
      <x:c r="J99" s="55" t="n">
        <x:v>0</x:v>
      </x:c>
      <x:c r="K99" s="55" t="n">
        <x:v>0</x:v>
      </x:c>
      <x:c r="L99" s="44" t="str">
        <x:v>COMPLETE</x:v>
      </x:c>
    </x:row>
    <x:row r="100">
      <x:c r="A100" s="51" t="str">
        <x:v>GSE57065</x:v>
      </x:c>
      <x:c r="B100" s="52" t="str">
        <x:v>SIG004</x:v>
      </x:c>
      <x:c r="C100" s="52" t="str">
        <x:v>IDNK</x:v>
      </x:c>
      <x:c r="D100" s="56" t="n">
        <x:v>2</x:v>
      </x:c>
      <x:c r="E100" s="52" t="str">
        <x:v>IDNK</x:v>
      </x:c>
      <x:c r="F100" s="52" t="str">
        <x:v>IDNK</x:v>
      </x:c>
      <x:c r="G100" s="52" t="str">
        <x:v>NO</x:v>
      </x:c>
      <x:c r="H100" s="60" t="n">
        <x:v>5.012815</x:v>
      </x:c>
      <x:c r="I100" s="60" t="n">
        <x:v>7.879355</x:v>
      </x:c>
      <x:c r="J100" s="56" t="n">
        <x:v>0</x:v>
      </x:c>
      <x:c r="K100" s="56" t="n">
        <x:v>0</x:v>
      </x:c>
      <x:c r="L100" s="53" t="str">
        <x:v>COMPLETE</x:v>
      </x:c>
    </x:row>
    <x:row r="101">
      <x:c r="A101" s="42" t="str">
        <x:v>GSE57065</x:v>
      </x:c>
      <x:c r="B101" s="43" t="str">
        <x:v>SIG004</x:v>
      </x:c>
      <x:c r="C101" s="43" t="str">
        <x:v>PLAC8</x:v>
      </x:c>
      <x:c r="D101" s="55" t="n">
        <x:v>1</x:v>
      </x:c>
      <x:c r="E101" s="43" t="str">
        <x:v>PLAC8</x:v>
      </x:c>
      <x:c r="F101" s="43" t="str">
        <x:v>PLAC8</x:v>
      </x:c>
      <x:c r="G101" s="43" t="str">
        <x:v>NO</x:v>
      </x:c>
      <x:c r="H101" s="59" t="n">
        <x:v>9.13386</x:v>
      </x:c>
      <x:c r="I101" s="59" t="n">
        <x:v>13.3078</x:v>
      </x:c>
      <x:c r="J101" s="55" t="n">
        <x:v>0</x:v>
      </x:c>
      <x:c r="K101" s="55" t="n">
        <x:v>0</x:v>
      </x:c>
      <x:c r="L101" s="44" t="str">
        <x:v>COMPLETE</x:v>
      </x:c>
    </x:row>
    <x:row r="102">
      <x:c r="A102" s="51" t="str">
        <x:v>GSE57065</x:v>
      </x:c>
      <x:c r="B102" s="52" t="str">
        <x:v>SIG022</x:v>
      </x:c>
      <x:c r="C102" s="52" t="str">
        <x:v>IFI27</x:v>
      </x:c>
      <x:c r="D102" s="56" t="n">
        <x:v>1</x:v>
      </x:c>
      <x:c r="E102" s="52" t="str">
        <x:v>IFI27</x:v>
      </x:c>
      <x:c r="F102" s="52" t="str">
        <x:v>IFI27</x:v>
      </x:c>
      <x:c r="G102" s="52" t="str">
        <x:v>NO</x:v>
      </x:c>
      <x:c r="H102" s="60" t="n">
        <x:v>2.75876</x:v>
      </x:c>
      <x:c r="I102" s="60" t="n">
        <x:v>12.3949</x:v>
      </x:c>
      <x:c r="J102" s="56" t="n">
        <x:v>0</x:v>
      </x:c>
      <x:c r="K102" s="56" t="n">
        <x:v>0</x:v>
      </x:c>
      <x:c r="L102" s="53" t="str">
        <x:v>COMPLETE</x:v>
      </x:c>
    </x:row>
    <x:row r="103">
      <x:c r="A103" s="42" t="str">
        <x:v>GSE57065</x:v>
      </x:c>
      <x:c r="B103" s="43" t="str">
        <x:v>SIG022</x:v>
      </x:c>
      <x:c r="C103" s="43" t="str">
        <x:v>JUP</x:v>
      </x:c>
      <x:c r="D103" s="55" t="n">
        <x:v>3</x:v>
      </x:c>
      <x:c r="E103" s="43" t="str">
        <x:v>JUP; KRT17///JUP</x:v>
      </x:c>
      <x:c r="F103" s="43" t="str">
        <x:v>JUP</x:v>
      </x:c>
      <x:c r="G103" s="43" t="str">
        <x:v>YES</x:v>
      </x:c>
      <x:c r="H103" s="59" t="n">
        <x:v>3.944236666666667</x:v>
      </x:c>
      <x:c r="I103" s="59" t="n">
        <x:v>5.224153333333334</x:v>
      </x:c>
      <x:c r="J103" s="55" t="n">
        <x:v>0</x:v>
      </x:c>
      <x:c r="K103" s="55" t="n">
        <x:v>0</x:v>
      </x:c>
      <x:c r="L103" s="44" t="str">
        <x:v>COMPLETE</x:v>
      </x:c>
    </x:row>
    <x:row r="104">
      <x:c r="A104" s="51" t="str">
        <x:v>GSE57065</x:v>
      </x:c>
      <x:c r="B104" s="52" t="str">
        <x:v>SIG022</x:v>
      </x:c>
      <x:c r="C104" s="52" t="str">
        <x:v>LAX1</x:v>
      </x:c>
      <x:c r="D104" s="56" t="n">
        <x:v>1</x:v>
      </x:c>
      <x:c r="E104" s="52" t="str">
        <x:v>LAX1</x:v>
      </x:c>
      <x:c r="F104" s="52" t="str">
        <x:v>LAX1</x:v>
      </x:c>
      <x:c r="G104" s="52" t="str">
        <x:v>NO</x:v>
      </x:c>
      <x:c r="H104" s="60" t="n">
        <x:v>4.14519</x:v>
      </x:c>
      <x:c r="I104" s="60" t="n">
        <x:v>7.7136</x:v>
      </x:c>
      <x:c r="J104" s="56" t="n">
        <x:v>0</x:v>
      </x:c>
      <x:c r="K104" s="56" t="n">
        <x:v>0</x:v>
      </x:c>
      <x:c r="L104" s="53" t="str">
        <x:v>COMPLETE</x:v>
      </x:c>
    </x:row>
    <x:row r="105">
      <x:c r="A105" s="42" t="str">
        <x:v>GSE57065</x:v>
      </x:c>
      <x:c r="B105" s="43" t="str">
        <x:v>SIG022</x:v>
      </x:c>
      <x:c r="C105" s="43" t="str">
        <x:v>HK3</x:v>
      </x:c>
      <x:c r="D105" s="55" t="n">
        <x:v>1</x:v>
      </x:c>
      <x:c r="E105" s="43" t="str">
        <x:v>HK3</x:v>
      </x:c>
      <x:c r="F105" s="43" t="str">
        <x:v>HK3</x:v>
      </x:c>
      <x:c r="G105" s="43" t="str">
        <x:v>NO</x:v>
      </x:c>
      <x:c r="H105" s="59" t="n">
        <x:v>7.26969</x:v>
      </x:c>
      <x:c r="I105" s="59" t="n">
        <x:v>11.5969</x:v>
      </x:c>
      <x:c r="J105" s="55" t="n">
        <x:v>0</x:v>
      </x:c>
      <x:c r="K105" s="55" t="n">
        <x:v>0</x:v>
      </x:c>
      <x:c r="L105" s="44" t="str">
        <x:v>COMPLETE</x:v>
      </x:c>
    </x:row>
    <x:row r="106">
      <x:c r="A106" s="51" t="str">
        <x:v>GSE57065</x:v>
      </x:c>
      <x:c r="B106" s="52" t="str">
        <x:v>SIG022</x:v>
      </x:c>
      <x:c r="C106" s="52" t="str">
        <x:v>TNIP1</x:v>
      </x:c>
      <x:c r="D106" s="56" t="n">
        <x:v>2</x:v>
      </x:c>
      <x:c r="E106" s="52" t="str">
        <x:v>TNIP1</x:v>
      </x:c>
      <x:c r="F106" s="52" t="str">
        <x:v>TNIP1</x:v>
      </x:c>
      <x:c r="G106" s="52" t="str">
        <x:v>NO</x:v>
      </x:c>
      <x:c r="H106" s="60" t="n">
        <x:v>7.052110000000001</x:v>
      </x:c>
      <x:c r="I106" s="60" t="n">
        <x:v>8.80425</x:v>
      </x:c>
      <x:c r="J106" s="56" t="n">
        <x:v>0</x:v>
      </x:c>
      <x:c r="K106" s="56" t="n">
        <x:v>0</x:v>
      </x:c>
      <x:c r="L106" s="53" t="str">
        <x:v>COMPLETE</x:v>
      </x:c>
    </x:row>
    <x:row r="107">
      <x:c r="A107" s="42" t="str">
        <x:v>GSE57065</x:v>
      </x:c>
      <x:c r="B107" s="43" t="str">
        <x:v>SIG022</x:v>
      </x:c>
      <x:c r="C107" s="43" t="str">
        <x:v>GPAA1</x:v>
      </x:c>
      <x:c r="D107" s="55" t="n">
        <x:v>3</x:v>
      </x:c>
      <x:c r="E107" s="43" t="str">
        <x:v>GPAA1</x:v>
      </x:c>
      <x:c r="F107" s="43" t="str">
        <x:v>GPAA1</x:v>
      </x:c>
      <x:c r="G107" s="43" t="str">
        <x:v>NO</x:v>
      </x:c>
      <x:c r="H107" s="59" t="n">
        <x:v>6.580246666666667</x:v>
      </x:c>
      <x:c r="I107" s="59" t="n">
        <x:v>7.895796666666667</x:v>
      </x:c>
      <x:c r="J107" s="55" t="n">
        <x:v>0</x:v>
      </x:c>
      <x:c r="K107" s="55" t="n">
        <x:v>0</x:v>
      </x:c>
      <x:c r="L107" s="44" t="str">
        <x:v>COMPLETE</x:v>
      </x:c>
    </x:row>
    <x:row r="108">
      <x:c r="A108" s="51" t="str">
        <x:v>GSE57065</x:v>
      </x:c>
      <x:c r="B108" s="52" t="str">
        <x:v>SIG022</x:v>
      </x:c>
      <x:c r="C108" s="52" t="str">
        <x:v>CTSB</x:v>
      </x:c>
      <x:c r="D108" s="56" t="n">
        <x:v>5</x:v>
      </x:c>
      <x:c r="E108" s="52" t="str">
        <x:v>CTSB</x:v>
      </x:c>
      <x:c r="F108" s="52" t="str">
        <x:v>CTSB</x:v>
      </x:c>
      <x:c r="G108" s="52" t="str">
        <x:v>NO</x:v>
      </x:c>
      <x:c r="H108" s="60" t="n">
        <x:v>8.35127</x:v>
      </x:c>
      <x:c r="I108" s="60" t="n">
        <x:v>10.47745</x:v>
      </x:c>
      <x:c r="J108" s="56" t="n">
        <x:v>0</x:v>
      </x:c>
      <x:c r="K108" s="56" t="n">
        <x:v>0</x:v>
      </x:c>
      <x:c r="L108" s="53" t="str">
        <x:v>COMPLETE</x:v>
      </x:c>
    </x:row>
    <x:row r="109">
      <x:c r="A109" s="42" t="str">
        <x:v>GSE57065</x:v>
      </x:c>
      <x:c r="B109" s="43" t="str">
        <x:v>SIG023</x:v>
      </x:c>
      <x:c r="C109" s="43" t="str">
        <x:v>FAM89A</x:v>
      </x:c>
      <x:c r="D109" s="55" t="n">
        <x:v>1</x:v>
      </x:c>
      <x:c r="E109" s="43" t="str">
        <x:v>MIR1182///FAM89A</x:v>
      </x:c>
      <x:c r="F109" s="43" t="str">
        <x:v>FAM89A</x:v>
      </x:c>
      <x:c r="G109" s="43" t="str">
        <x:v>YES</x:v>
      </x:c>
      <x:c r="H109" s="59" t="n">
        <x:v>4.48868</x:v>
      </x:c>
      <x:c r="I109" s="59" t="n">
        <x:v>9.02852</x:v>
      </x:c>
      <x:c r="J109" s="55" t="n">
        <x:v>0</x:v>
      </x:c>
      <x:c r="K109" s="55" t="n">
        <x:v>0</x:v>
      </x:c>
      <x:c r="L109" s="44" t="str">
        <x:v>COMPLETE</x:v>
      </x:c>
    </x:row>
    <x:row r="110">
      <x:c r="A110" s="51" t="str">
        <x:v>GSE57065</x:v>
      </x:c>
      <x:c r="B110" s="52" t="str">
        <x:v>SIG023</x:v>
      </x:c>
      <x:c r="C110" s="52" t="str">
        <x:v>IFI44L</x:v>
      </x:c>
      <x:c r="D110" s="56" t="n">
        <x:v>1</x:v>
      </x:c>
      <x:c r="E110" s="52" t="str">
        <x:v>IFI44L</x:v>
      </x:c>
      <x:c r="F110" s="52" t="str">
        <x:v>IFI44L</x:v>
      </x:c>
      <x:c r="G110" s="52" t="str">
        <x:v>NO</x:v>
      </x:c>
      <x:c r="H110" s="60" t="n">
        <x:v>2.62682</x:v>
      </x:c>
      <x:c r="I110" s="60" t="n">
        <x:v>11.9431</x:v>
      </x:c>
      <x:c r="J110" s="56" t="n">
        <x:v>0</x:v>
      </x:c>
      <x:c r="K110" s="56" t="n">
        <x:v>0</x:v>
      </x:c>
      <x:c r="L110" s="53" t="str">
        <x:v>COMPLETE</x:v>
      </x:c>
    </x:row>
    <x:row r="111">
      <x:c r="A111" s="42" t="str">
        <x:v>GSE57065</x:v>
      </x:c>
      <x:c r="B111" s="43" t="str">
        <x:v>SIG033</x:v>
      </x:c>
      <x:c r="C111" s="43" t="str">
        <x:v>ADRB2</x:v>
      </x:c>
      <x:c r="D111" s="55" t="n">
        <x:v>1</x:v>
      </x:c>
      <x:c r="E111" s="43" t="str">
        <x:v>ADRB2</x:v>
      </x:c>
      <x:c r="F111" s="43" t="str">
        <x:v>ADRB2</x:v>
      </x:c>
      <x:c r="G111" s="43" t="str">
        <x:v>NO</x:v>
      </x:c>
      <x:c r="H111" s="59" t="n">
        <x:v>4.73328</x:v>
      </x:c>
      <x:c r="I111" s="59" t="n">
        <x:v>8.36041</x:v>
      </x:c>
      <x:c r="J111" s="55" t="n">
        <x:v>0</x:v>
      </x:c>
      <x:c r="K111" s="55" t="n">
        <x:v>0</x:v>
      </x:c>
      <x:c r="L111" s="44" t="str">
        <x:v>COMPLETE</x:v>
      </x:c>
    </x:row>
    <x:row r="112">
      <x:c r="A112" s="51" t="str">
        <x:v>GSE57065</x:v>
      </x:c>
      <x:c r="B112" s="52" t="str">
        <x:v>SIG033</x:v>
      </x:c>
      <x:c r="C112" s="52" t="str">
        <x:v>CTSG</x:v>
      </x:c>
      <x:c r="D112" s="56" t="n">
        <x:v>1</x:v>
      </x:c>
      <x:c r="E112" s="52" t="str">
        <x:v>CTSG</x:v>
      </x:c>
      <x:c r="F112" s="52" t="str">
        <x:v>CTSG</x:v>
      </x:c>
      <x:c r="G112" s="52" t="str">
        <x:v>NO</x:v>
      </x:c>
      <x:c r="H112" s="60" t="n">
        <x:v>3.71235</x:v>
      </x:c>
      <x:c r="I112" s="60" t="n">
        <x:v>10.1348</x:v>
      </x:c>
      <x:c r="J112" s="56" t="n">
        <x:v>0</x:v>
      </x:c>
      <x:c r="K112" s="56" t="n">
        <x:v>0</x:v>
      </x:c>
      <x:c r="L112" s="53" t="str">
        <x:v>COMPLETE</x:v>
      </x:c>
    </x:row>
    <x:row r="113">
      <x:c r="A113" s="42" t="str">
        <x:v>GSE57065</x:v>
      </x:c>
      <x:c r="B113" s="43" t="str">
        <x:v>SIG033</x:v>
      </x:c>
      <x:c r="C113" s="43" t="str">
        <x:v>CX3CR1</x:v>
      </x:c>
      <x:c r="D113" s="55" t="n">
        <x:v>2</x:v>
      </x:c>
      <x:c r="E113" s="43" t="str">
        <x:v>CX3CR1</x:v>
      </x:c>
      <x:c r="F113" s="43" t="str">
        <x:v>CX3CR1</x:v>
      </x:c>
      <x:c r="G113" s="43" t="str">
        <x:v>NO</x:v>
      </x:c>
      <x:c r="H113" s="59" t="n">
        <x:v>4.96089</x:v>
      </x:c>
      <x:c r="I113" s="59" t="n">
        <x:v>9.969045</x:v>
      </x:c>
      <x:c r="J113" s="55" t="n">
        <x:v>0</x:v>
      </x:c>
      <x:c r="K113" s="55" t="n">
        <x:v>0</x:v>
      </x:c>
      <x:c r="L113" s="44" t="str">
        <x:v>COMPLETE</x:v>
      </x:c>
    </x:row>
    <x:row r="114">
      <x:c r="A114" s="51" t="str">
        <x:v>GSE57065</x:v>
      </x:c>
      <x:c r="B114" s="52" t="str">
        <x:v>SIG033</x:v>
      </x:c>
      <x:c r="C114" s="52" t="str">
        <x:v>CXCR6</x:v>
      </x:c>
      <x:c r="D114" s="56" t="n">
        <x:v>2</x:v>
      </x:c>
      <x:c r="E114" s="52" t="str">
        <x:v>CXCR6</x:v>
      </x:c>
      <x:c r="F114" s="52" t="str">
        <x:v>CXCR6</x:v>
      </x:c>
      <x:c r="G114" s="52" t="str">
        <x:v>NO</x:v>
      </x:c>
      <x:c r="H114" s="60" t="n">
        <x:v>4.14498</x:v>
      </x:c>
      <x:c r="I114" s="60" t="n">
        <x:v>6.935875</x:v>
      </x:c>
      <x:c r="J114" s="56" t="n">
        <x:v>0</x:v>
      </x:c>
      <x:c r="K114" s="56" t="n">
        <x:v>0</x:v>
      </x:c>
      <x:c r="L114" s="53" t="str">
        <x:v>COMPLETE</x:v>
      </x:c>
    </x:row>
    <x:row r="115">
      <x:c r="A115" s="42" t="str">
        <x:v>GSE57065</x:v>
      </x:c>
      <x:c r="B115" s="43" t="str">
        <x:v>SIG033</x:v>
      </x:c>
      <x:c r="C115" s="43" t="str">
        <x:v>IL4R</x:v>
      </x:c>
      <x:c r="D115" s="55" t="n">
        <x:v>1</x:v>
      </x:c>
      <x:c r="E115" s="43" t="str">
        <x:v>IL4R</x:v>
      </x:c>
      <x:c r="F115" s="43" t="str">
        <x:v>IL4R</x:v>
      </x:c>
      <x:c r="G115" s="43" t="str">
        <x:v>NO</x:v>
      </x:c>
      <x:c r="H115" s="59" t="n">
        <x:v>7.37369</x:v>
      </x:c>
      <x:c r="I115" s="59" t="n">
        <x:v>10.1637</x:v>
      </x:c>
      <x:c r="J115" s="55" t="n">
        <x:v>0</x:v>
      </x:c>
      <x:c r="K115" s="55" t="n">
        <x:v>0</x:v>
      </x:c>
      <x:c r="L115" s="44" t="str">
        <x:v>COMPLETE</x:v>
      </x:c>
    </x:row>
    <x:row r="116">
      <x:c r="A116" s="51" t="str">
        <x:v>GSE57065</x:v>
      </x:c>
      <x:c r="B116" s="52" t="str">
        <x:v>SIG033</x:v>
      </x:c>
      <x:c r="C116" s="52" t="str">
        <x:v>LTB</x:v>
      </x:c>
      <x:c r="D116" s="56" t="n">
        <x:v>2</x:v>
      </x:c>
      <x:c r="E116" s="52" t="str">
        <x:v>LTB</x:v>
      </x:c>
      <x:c r="F116" s="52" t="str">
        <x:v>LTB</x:v>
      </x:c>
      <x:c r="G116" s="52" t="str">
        <x:v>NO</x:v>
      </x:c>
      <x:c r="H116" s="60" t="n">
        <x:v>6.357425</x:v>
      </x:c>
      <x:c r="I116" s="60" t="n">
        <x:v>8.94005</x:v>
      </x:c>
      <x:c r="J116" s="56" t="n">
        <x:v>0</x:v>
      </x:c>
      <x:c r="K116" s="56" t="n">
        <x:v>0</x:v>
      </x:c>
      <x:c r="L116" s="53" t="str">
        <x:v>COMPLETE</x:v>
      </x:c>
    </x:row>
    <x:row r="117">
      <x:c r="A117" s="42" t="str">
        <x:v>GSE57065</x:v>
      </x:c>
      <x:c r="B117" s="43" t="str">
        <x:v>SIG033</x:v>
      </x:c>
      <x:c r="C117" s="43" t="str">
        <x:v>TMSB10</x:v>
      </x:c>
      <x:c r="D117" s="55" t="n">
        <x:v>1</x:v>
      </x:c>
      <x:c r="E117" s="43" t="str">
        <x:v>TMSB10</x:v>
      </x:c>
      <x:c r="F117" s="43" t="str">
        <x:v>TMSB10</x:v>
      </x:c>
      <x:c r="G117" s="43" t="str">
        <x:v>NO</x:v>
      </x:c>
      <x:c r="H117" s="59" t="n">
        <x:v>10.163</x:v>
      </x:c>
      <x:c r="I117" s="59" t="n">
        <x:v>12.5915</x:v>
      </x:c>
      <x:c r="J117" s="55" t="n">
        <x:v>0</x:v>
      </x:c>
      <x:c r="K117" s="55" t="n">
        <x:v>0</x:v>
      </x:c>
      <x:c r="L117" s="44" t="str">
        <x:v>COMPLETE</x:v>
      </x:c>
    </x:row>
    <x:row r="118">
      <x:c r="A118" s="51" t="str">
        <x:v>GSE57065</x:v>
      </x:c>
      <x:c r="B118" s="52" t="str">
        <x:v>SIG034</x:v>
      </x:c>
      <x:c r="C118" s="52" t="str">
        <x:v>NQO2</x:v>
      </x:c>
      <x:c r="D118" s="56" t="n">
        <x:v>2</x:v>
      </x:c>
      <x:c r="E118" s="52" t="str">
        <x:v>NQO2</x:v>
      </x:c>
      <x:c r="F118" s="52" t="str">
        <x:v>NQO2</x:v>
      </x:c>
      <x:c r="G118" s="52" t="str">
        <x:v>NO</x:v>
      </x:c>
      <x:c r="H118" s="60" t="n">
        <x:v>6.0106</x:v>
      </x:c>
      <x:c r="I118" s="60" t="n">
        <x:v>8.989955</x:v>
      </x:c>
      <x:c r="J118" s="56" t="n">
        <x:v>0</x:v>
      </x:c>
      <x:c r="K118" s="56" t="n">
        <x:v>0</x:v>
      </x:c>
      <x:c r="L118" s="53" t="str">
        <x:v>COMPLETE</x:v>
      </x:c>
    </x:row>
    <x:row r="119">
      <x:c r="A119" s="42" t="str">
        <x:v>GSE57065</x:v>
      </x:c>
      <x:c r="B119" s="43" t="str">
        <x:v>SIG034</x:v>
      </x:c>
      <x:c r="C119" s="43" t="str">
        <x:v>SLPI</x:v>
      </x:c>
      <x:c r="D119" s="55" t="n">
        <x:v>1</x:v>
      </x:c>
      <x:c r="E119" s="43" t="str">
        <x:v>SLPI</x:v>
      </x:c>
      <x:c r="F119" s="43" t="str">
        <x:v>SLPI</x:v>
      </x:c>
      <x:c r="G119" s="43" t="str">
        <x:v>NO</x:v>
      </x:c>
      <x:c r="H119" s="59" t="n">
        <x:v>5.39163</x:v>
      </x:c>
      <x:c r="I119" s="59" t="n">
        <x:v>10.4282</x:v>
      </x:c>
      <x:c r="J119" s="55" t="n">
        <x:v>0</x:v>
      </x:c>
      <x:c r="K119" s="55" t="n">
        <x:v>0</x:v>
      </x:c>
      <x:c r="L119" s="44" t="str">
        <x:v>COMPLETE</x:v>
      </x:c>
    </x:row>
    <x:row r="120">
      <x:c r="A120" s="51" t="str">
        <x:v>GSE57065</x:v>
      </x:c>
      <x:c r="B120" s="52" t="str">
        <x:v>SIG034</x:v>
      </x:c>
      <x:c r="C120" s="52" t="str">
        <x:v>ORM1</x:v>
      </x:c>
      <x:c r="D120" s="56" t="n">
        <x:v>3</x:v>
      </x:c>
      <x:c r="E120" s="52" t="str">
        <x:v>ORM1; ORM2///ORM1</x:v>
      </x:c>
      <x:c r="F120" s="52" t="str">
        <x:v>ORM1</x:v>
      </x:c>
      <x:c r="G120" s="52" t="str">
        <x:v>YES</x:v>
      </x:c>
      <x:c r="H120" s="60" t="n">
        <x:v>3.3705</x:v>
      </x:c>
      <x:c r="I120" s="60" t="n">
        <x:v>8.696256666666665</x:v>
      </x:c>
      <x:c r="J120" s="56" t="n">
        <x:v>0</x:v>
      </x:c>
      <x:c r="K120" s="56" t="n">
        <x:v>0</x:v>
      </x:c>
      <x:c r="L120" s="53" t="str">
        <x:v>COMPLETE</x:v>
      </x:c>
    </x:row>
    <x:row r="121">
      <x:c r="A121" s="42" t="str">
        <x:v>GSE57065</x:v>
      </x:c>
      <x:c r="B121" s="43" t="str">
        <x:v>SIG034</x:v>
      </x:c>
      <x:c r="C121" s="43" t="str">
        <x:v>KLHL2</x:v>
      </x:c>
      <x:c r="D121" s="55" t="n">
        <x:v>1</x:v>
      </x:c>
      <x:c r="E121" s="43" t="str">
        <x:v>KLHL2</x:v>
      </x:c>
      <x:c r="F121" s="43" t="str">
        <x:v>KLHL2</x:v>
      </x:c>
      <x:c r="G121" s="43" t="str">
        <x:v>NO</x:v>
      </x:c>
      <x:c r="H121" s="59" t="n">
        <x:v>7.27119</x:v>
      </x:c>
      <x:c r="I121" s="59" t="n">
        <x:v>11.4672</x:v>
      </x:c>
      <x:c r="J121" s="55" t="n">
        <x:v>0</x:v>
      </x:c>
      <x:c r="K121" s="55" t="n">
        <x:v>0</x:v>
      </x:c>
      <x:c r="L121" s="44" t="str">
        <x:v>COMPLETE</x:v>
      </x:c>
    </x:row>
    <x:row r="122">
      <x:c r="A122" s="51" t="str">
        <x:v>GSE57065</x:v>
      </x:c>
      <x:c r="B122" s="52" t="str">
        <x:v>SIG034</x:v>
      </x:c>
      <x:c r="C122" s="52" t="str">
        <x:v>ANXA3</x:v>
      </x:c>
      <x:c r="D122" s="56" t="n">
        <x:v>1</x:v>
      </x:c>
      <x:c r="E122" s="52" t="str">
        <x:v>ANXA3</x:v>
      </x:c>
      <x:c r="F122" s="52" t="str">
        <x:v>ANXA3</x:v>
      </x:c>
      <x:c r="G122" s="52" t="str">
        <x:v>NO</x:v>
      </x:c>
      <x:c r="H122" s="60" t="n">
        <x:v>5.28422</x:v>
      </x:c>
      <x:c r="I122" s="60" t="n">
        <x:v>12.3743</x:v>
      </x:c>
      <x:c r="J122" s="56" t="n">
        <x:v>0</x:v>
      </x:c>
      <x:c r="K122" s="56" t="n">
        <x:v>0</x:v>
      </x:c>
      <x:c r="L122" s="53" t="str">
        <x:v>COMPLETE</x:v>
      </x:c>
    </x:row>
    <x:row r="123">
      <x:c r="A123" s="42" t="str">
        <x:v>GSE57065</x:v>
      </x:c>
      <x:c r="B123" s="43" t="str">
        <x:v>SIG034</x:v>
      </x:c>
      <x:c r="C123" s="43" t="str">
        <x:v>TXN</x:v>
      </x:c>
      <x:c r="D123" s="55" t="n">
        <x:v>2</x:v>
      </x:c>
      <x:c r="E123" s="43" t="str">
        <x:v>TXN</x:v>
      </x:c>
      <x:c r="F123" s="43" t="str">
        <x:v>TXN</x:v>
      </x:c>
      <x:c r="G123" s="43" t="str">
        <x:v>NO</x:v>
      </x:c>
      <x:c r="H123" s="59" t="n">
        <x:v>4.306045</x:v>
      </x:c>
      <x:c r="I123" s="59" t="n">
        <x:v>8.65974</x:v>
      </x:c>
      <x:c r="J123" s="55" t="n">
        <x:v>0</x:v>
      </x:c>
      <x:c r="K123" s="55" t="n">
        <x:v>0</x:v>
      </x:c>
      <x:c r="L123" s="44" t="str">
        <x:v>COMPLETE</x:v>
      </x:c>
    </x:row>
    <x:row r="124">
      <x:c r="A124" s="51" t="str">
        <x:v>GSE57065</x:v>
      </x:c>
      <x:c r="B124" s="52" t="str">
        <x:v>SIG034</x:v>
      </x:c>
      <x:c r="C124" s="52" t="str">
        <x:v>AQP9</x:v>
      </x:c>
      <x:c r="D124" s="56" t="n">
        <x:v>1</x:v>
      </x:c>
      <x:c r="E124" s="52" t="str">
        <x:v>AQP9</x:v>
      </x:c>
      <x:c r="F124" s="52" t="str">
        <x:v>AQP9</x:v>
      </x:c>
      <x:c r="G124" s="52" t="str">
        <x:v>NO</x:v>
      </x:c>
      <x:c r="H124" s="60" t="n">
        <x:v>10.4829</x:v>
      </x:c>
      <x:c r="I124" s="60" t="n">
        <x:v>12.4307</x:v>
      </x:c>
      <x:c r="J124" s="56" t="n">
        <x:v>0</x:v>
      </x:c>
      <x:c r="K124" s="56" t="n">
        <x:v>0</x:v>
      </x:c>
      <x:c r="L124" s="53" t="str">
        <x:v>COMPLETE</x:v>
      </x:c>
    </x:row>
    <x:row r="125">
      <x:c r="A125" s="42" t="str">
        <x:v>GSE57065</x:v>
      </x:c>
      <x:c r="B125" s="43" t="str">
        <x:v>SIG034</x:v>
      </x:c>
      <x:c r="C125" s="43" t="str">
        <x:v>BCL6</x:v>
      </x:c>
      <x:c r="D125" s="55" t="n">
        <x:v>3</x:v>
      </x:c>
      <x:c r="E125" s="43" t="str">
        <x:v>BCL6</x:v>
      </x:c>
      <x:c r="F125" s="43" t="str">
        <x:v>BCL6</x:v>
      </x:c>
      <x:c r="G125" s="43" t="str">
        <x:v>NO</x:v>
      </x:c>
      <x:c r="H125" s="59" t="n">
        <x:v>8.637839999999999</x:v>
      </x:c>
      <x:c r="I125" s="59" t="n">
        <x:v>11.617266666666668</x:v>
      </x:c>
      <x:c r="J125" s="55" t="n">
        <x:v>0</x:v>
      </x:c>
      <x:c r="K125" s="55" t="n">
        <x:v>0</x:v>
      </x:c>
      <x:c r="L125" s="44" t="str">
        <x:v>COMPLETE</x:v>
      </x:c>
    </x:row>
    <x:row r="126">
      <x:c r="A126" s="51" t="str">
        <x:v>GSE57065</x:v>
      </x:c>
      <x:c r="B126" s="52" t="str">
        <x:v>SIG034</x:v>
      </x:c>
      <x:c r="C126" s="52" t="str">
        <x:v>DOK3</x:v>
      </x:c>
      <x:c r="D126" s="56" t="n">
        <x:v>2</x:v>
      </x:c>
      <x:c r="E126" s="52" t="str">
        <x:v>DOK3</x:v>
      </x:c>
      <x:c r="F126" s="52" t="str">
        <x:v>DOK3</x:v>
      </x:c>
      <x:c r="G126" s="52" t="str">
        <x:v>NO</x:v>
      </x:c>
      <x:c r="H126" s="60" t="n">
        <x:v>7.48269</x:v>
      </x:c>
      <x:c r="I126" s="60" t="n">
        <x:v>9.286685</x:v>
      </x:c>
      <x:c r="J126" s="56" t="n">
        <x:v>0</x:v>
      </x:c>
      <x:c r="K126" s="56" t="n">
        <x:v>0</x:v>
      </x:c>
      <x:c r="L126" s="53" t="str">
        <x:v>COMPLETE</x:v>
      </x:c>
    </x:row>
    <x:row r="127">
      <x:c r="A127" s="42" t="str">
        <x:v>GSE57065</x:v>
      </x:c>
      <x:c r="B127" s="43" t="str">
        <x:v>SIG034</x:v>
      </x:c>
      <x:c r="C127" s="43" t="str">
        <x:v>PFKFB4</x:v>
      </x:c>
      <x:c r="D127" s="55" t="n">
        <x:v>2</x:v>
      </x:c>
      <x:c r="E127" s="43" t="str">
        <x:v>PFKFB4</x:v>
      </x:c>
      <x:c r="F127" s="43" t="str">
        <x:v>PFKFB4</x:v>
      </x:c>
      <x:c r="G127" s="43" t="str">
        <x:v>NO</x:v>
      </x:c>
      <x:c r="H127" s="59" t="n">
        <x:v>5.7084600000000005</x:v>
      </x:c>
      <x:c r="I127" s="59" t="n">
        <x:v>7.567515</x:v>
      </x:c>
      <x:c r="J127" s="55" t="n">
        <x:v>0</x:v>
      </x:c>
      <x:c r="K127" s="55" t="n">
        <x:v>0</x:v>
      </x:c>
      <x:c r="L127" s="44" t="str">
        <x:v>COMPLETE</x:v>
      </x:c>
    </x:row>
    <x:row r="128">
      <x:c r="A128" s="51" t="str">
        <x:v>GSE57065</x:v>
      </x:c>
      <x:c r="B128" s="52" t="str">
        <x:v>SIG034</x:v>
      </x:c>
      <x:c r="C128" s="52" t="str">
        <x:v>TYK2</x:v>
      </x:c>
      <x:c r="D128" s="56" t="n">
        <x:v>1</x:v>
      </x:c>
      <x:c r="E128" s="52" t="str">
        <x:v>TYK2</x:v>
      </x:c>
      <x:c r="F128" s="52" t="str">
        <x:v>TYK2</x:v>
      </x:c>
      <x:c r="G128" s="52" t="str">
        <x:v>NO</x:v>
      </x:c>
      <x:c r="H128" s="60" t="n">
        <x:v>6.46651</x:v>
      </x:c>
      <x:c r="I128" s="60" t="n">
        <x:v>8.40063</x:v>
      </x:c>
      <x:c r="J128" s="56" t="n">
        <x:v>0</x:v>
      </x:c>
      <x:c r="K128" s="56" t="n">
        <x:v>0</x:v>
      </x:c>
      <x:c r="L128" s="53" t="str">
        <x:v>COMPLETE</x:v>
      </x:c>
    </x:row>
    <x:row r="129">
      <x:c r="A129" s="42" t="str">
        <x:v>GSE57065</x:v>
      </x:c>
      <x:c r="B129" s="43" t="str">
        <x:v>SIG034</x:v>
      </x:c>
      <x:c r="C129" s="43" t="str">
        <x:v>BCL2L11</x:v>
      </x:c>
      <x:c r="D129" s="55" t="n">
        <x:v>7</x:v>
      </x:c>
      <x:c r="E129" s="43" t="str">
        <x:v>BCL2L11</x:v>
      </x:c>
      <x:c r="F129" s="43" t="str">
        <x:v>BCL2L11</x:v>
      </x:c>
      <x:c r="G129" s="43" t="str">
        <x:v>NO</x:v>
      </x:c>
      <x:c r="H129" s="59" t="n">
        <x:v>5.313225714285714</x:v>
      </x:c>
      <x:c r="I129" s="59" t="n">
        <x:v>6.91857857142857</x:v>
      </x:c>
      <x:c r="J129" s="55" t="n">
        <x:v>0</x:v>
      </x:c>
      <x:c r="K129" s="55" t="n">
        <x:v>0</x:v>
      </x:c>
      <x:c r="L129" s="44" t="str">
        <x:v>COMPLETE</x:v>
      </x:c>
    </x:row>
    <x:row r="130">
      <x:c r="A130" s="51" t="str">
        <x:v>GSE57065</x:v>
      </x:c>
      <x:c r="B130" s="52" t="str">
        <x:v>SIG034</x:v>
      </x:c>
      <x:c r="C130" s="52" t="str">
        <x:v>BCAT1</x:v>
      </x:c>
      <x:c r="D130" s="56" t="n">
        <x:v>4</x:v>
      </x:c>
      <x:c r="E130" s="52" t="str">
        <x:v>BCAT1</x:v>
      </x:c>
      <x:c r="F130" s="52" t="str">
        <x:v>BCAT1</x:v>
      </x:c>
      <x:c r="G130" s="52" t="str">
        <x:v>NO</x:v>
      </x:c>
      <x:c r="H130" s="60" t="n">
        <x:v>3.51314</x:v>
      </x:c>
      <x:c r="I130" s="60" t="n">
        <x:v>7.824025</x:v>
      </x:c>
      <x:c r="J130" s="56" t="n">
        <x:v>0</x:v>
      </x:c>
      <x:c r="K130" s="56" t="n">
        <x:v>0</x:v>
      </x:c>
      <x:c r="L130" s="53" t="str">
        <x:v>COMPLETE</x:v>
      </x:c>
    </x:row>
    <x:row r="131">
      <x:c r="A131" s="42" t="str">
        <x:v>GSE57065</x:v>
      </x:c>
      <x:c r="B131" s="43" t="str">
        <x:v>SIG034</x:v>
      </x:c>
      <x:c r="C131" s="43" t="str">
        <x:v>BTBD7</x:v>
      </x:c>
      <x:c r="D131" s="55" t="n">
        <x:v>5</x:v>
      </x:c>
      <x:c r="E131" s="43" t="str">
        <x:v>BTBD7</x:v>
      </x:c>
      <x:c r="F131" s="43" t="str">
        <x:v>BTBD7</x:v>
      </x:c>
      <x:c r="G131" s="43" t="str">
        <x:v>NO</x:v>
      </x:c>
      <x:c r="H131" s="59" t="n">
        <x:v>5.151224</x:v>
      </x:c>
      <x:c r="I131" s="59" t="n">
        <x:v>6.032526</x:v>
      </x:c>
      <x:c r="J131" s="55" t="n">
        <x:v>0</x:v>
      </x:c>
      <x:c r="K131" s="55" t="n">
        <x:v>0</x:v>
      </x:c>
      <x:c r="L131" s="44" t="str">
        <x:v>COMPLETE</x:v>
      </x:c>
    </x:row>
    <x:row r="132">
      <x:c r="A132" s="51" t="str">
        <x:v>GSE57065</x:v>
      </x:c>
      <x:c r="B132" s="52" t="str">
        <x:v>SIG034</x:v>
      </x:c>
      <x:c r="C132" s="52" t="str">
        <x:v>CEP55</x:v>
      </x:c>
      <x:c r="D132" s="56" t="n">
        <x:v>1</x:v>
      </x:c>
      <x:c r="E132" s="52" t="str">
        <x:v>CEP55</x:v>
      </x:c>
      <x:c r="F132" s="52" t="str">
        <x:v>CEP55</x:v>
      </x:c>
      <x:c r="G132" s="52" t="str">
        <x:v>NO</x:v>
      </x:c>
      <x:c r="H132" s="60" t="n">
        <x:v>2.00448</x:v>
      </x:c>
      <x:c r="I132" s="60" t="n">
        <x:v>6.74391</x:v>
      </x:c>
      <x:c r="J132" s="56" t="n">
        <x:v>0</x:v>
      </x:c>
      <x:c r="K132" s="56" t="n">
        <x:v>0</x:v>
      </x:c>
      <x:c r="L132" s="53" t="str">
        <x:v>COMPLETE</x:v>
      </x:c>
    </x:row>
    <x:row r="133">
      <x:c r="A133" s="42" t="str">
        <x:v>GSE57065</x:v>
      </x:c>
      <x:c r="B133" s="43" t="str">
        <x:v>SIG034</x:v>
      </x:c>
      <x:c r="C133" s="43" t="str">
        <x:v>HMMR</x:v>
      </x:c>
      <x:c r="D133" s="55" t="n">
        <x:v>2</x:v>
      </x:c>
      <x:c r="E133" s="43" t="str">
        <x:v>HMMR</x:v>
      </x:c>
      <x:c r="F133" s="43" t="str">
        <x:v>HMMR</x:v>
      </x:c>
      <x:c r="G133" s="43" t="str">
        <x:v>NO</x:v>
      </x:c>
      <x:c r="H133" s="59" t="n">
        <x:v>3.109815</x:v>
      </x:c>
      <x:c r="I133" s="59" t="n">
        <x:v>7.60576</x:v>
      </x:c>
      <x:c r="J133" s="55" t="n">
        <x:v>0</x:v>
      </x:c>
      <x:c r="K133" s="55" t="n">
        <x:v>0</x:v>
      </x:c>
      <x:c r="L133" s="44" t="str">
        <x:v>COMPLETE</x:v>
      </x:c>
    </x:row>
    <x:row r="134">
      <x:c r="A134" s="51" t="str">
        <x:v>GSE57065</x:v>
      </x:c>
      <x:c r="B134" s="52" t="str">
        <x:v>SIG034</x:v>
      </x:c>
      <x:c r="C134" s="52" t="str">
        <x:v>PRC1</x:v>
      </x:c>
      <x:c r="D134" s="56" t="n">
        <x:v>1</x:v>
      </x:c>
      <x:c r="E134" s="52" t="str">
        <x:v>PRC1</x:v>
      </x:c>
      <x:c r="F134" s="52" t="str">
        <x:v>PRC1</x:v>
      </x:c>
      <x:c r="G134" s="52" t="str">
        <x:v>NO</x:v>
      </x:c>
      <x:c r="H134" s="60" t="n">
        <x:v>2.56333</x:v>
      </x:c>
      <x:c r="I134" s="60" t="n">
        <x:v>7.6636</x:v>
      </x:c>
      <x:c r="J134" s="56" t="n">
        <x:v>0</x:v>
      </x:c>
      <x:c r="K134" s="56" t="n">
        <x:v>0</x:v>
      </x:c>
      <x:c r="L134" s="53" t="str">
        <x:v>COMPLETE</x:v>
      </x:c>
    </x:row>
    <x:row r="135">
      <x:c r="A135" s="42" t="str">
        <x:v>GSE57065</x:v>
      </x:c>
      <x:c r="B135" s="43" t="str">
        <x:v>SIG034</x:v>
      </x:c>
      <x:c r="C135" s="43" t="str">
        <x:v>KIF15</x:v>
      </x:c>
      <x:c r="D135" s="55" t="n">
        <x:v>1</x:v>
      </x:c>
      <x:c r="E135" s="43" t="str">
        <x:v>KIF15</x:v>
      </x:c>
      <x:c r="F135" s="43" t="str">
        <x:v>KIF15</x:v>
      </x:c>
      <x:c r="G135" s="43" t="str">
        <x:v>NO</x:v>
      </x:c>
      <x:c r="H135" s="59" t="n">
        <x:v>1.78168</x:v>
      </x:c>
      <x:c r="I135" s="59" t="n">
        <x:v>5.19857</x:v>
      </x:c>
      <x:c r="J135" s="55" t="n">
        <x:v>0</x:v>
      </x:c>
      <x:c r="K135" s="55" t="n">
        <x:v>0</x:v>
      </x:c>
      <x:c r="L135" s="44" t="str">
        <x:v>COMPLETE</x:v>
      </x:c>
    </x:row>
    <x:row r="136">
      <x:c r="A136" s="51" t="str">
        <x:v>GSE57065</x:v>
      </x:c>
      <x:c r="B136" s="52" t="str">
        <x:v>SIG034</x:v>
      </x:c>
      <x:c r="C136" s="52" t="str">
        <x:v>CAMP</x:v>
      </x:c>
      <x:c r="D136" s="56" t="n">
        <x:v>1</x:v>
      </x:c>
      <x:c r="E136" s="52" t="str">
        <x:v>CAMP</x:v>
      </x:c>
      <x:c r="F136" s="52" t="str">
        <x:v>CAMP</x:v>
      </x:c>
      <x:c r="G136" s="52" t="str">
        <x:v>NO</x:v>
      </x:c>
      <x:c r="H136" s="60" t="n">
        <x:v>4.96309</x:v>
      </x:c>
      <x:c r="I136" s="60" t="n">
        <x:v>11.559</x:v>
      </x:c>
      <x:c r="J136" s="56" t="n">
        <x:v>0</x:v>
      </x:c>
      <x:c r="K136" s="56" t="n">
        <x:v>0</x:v>
      </x:c>
      <x:c r="L136" s="53" t="str">
        <x:v>COMPLETE</x:v>
      </x:c>
    </x:row>
    <x:row r="137">
      <x:c r="A137" s="42" t="str">
        <x:v>GSE57065</x:v>
      </x:c>
      <x:c r="B137" s="43" t="str">
        <x:v>SIG034</x:v>
      </x:c>
      <x:c r="C137" s="43" t="str">
        <x:v>CEACAM8</x:v>
      </x:c>
      <x:c r="D137" s="55" t="n">
        <x:v>1</x:v>
      </x:c>
      <x:c r="E137" s="43" t="str">
        <x:v>CEACAM8</x:v>
      </x:c>
      <x:c r="F137" s="43" t="str">
        <x:v>CEACAM8</x:v>
      </x:c>
      <x:c r="G137" s="43" t="str">
        <x:v>NO</x:v>
      </x:c>
      <x:c r="H137" s="59" t="n">
        <x:v>1.92703</x:v>
      </x:c>
      <x:c r="I137" s="59" t="n">
        <x:v>11.3767</x:v>
      </x:c>
      <x:c r="J137" s="55" t="n">
        <x:v>0</x:v>
      </x:c>
      <x:c r="K137" s="55" t="n">
        <x:v>0</x:v>
      </x:c>
      <x:c r="L137" s="44" t="str">
        <x:v>COMPLETE</x:v>
      </x:c>
    </x:row>
    <x:row r="138">
      <x:c r="A138" s="51" t="str">
        <x:v>GSE57065</x:v>
      </x:c>
      <x:c r="B138" s="52" t="str">
        <x:v>SIG034</x:v>
      </x:c>
      <x:c r="C138" s="52" t="str">
        <x:v>DEFA4</x:v>
      </x:c>
      <x:c r="D138" s="56" t="n">
        <x:v>1</x:v>
      </x:c>
      <x:c r="E138" s="52" t="str">
        <x:v>DEFA4</x:v>
      </x:c>
      <x:c r="F138" s="52" t="str">
        <x:v>DEFA4</x:v>
      </x:c>
      <x:c r="G138" s="52" t="str">
        <x:v>NO</x:v>
      </x:c>
      <x:c r="H138" s="60" t="n">
        <x:v>3.77128</x:v>
      </x:c>
      <x:c r="I138" s="60" t="n">
        <x:v>13.3415</x:v>
      </x:c>
      <x:c r="J138" s="56" t="n">
        <x:v>0</x:v>
      </x:c>
      <x:c r="K138" s="56" t="n">
        <x:v>0</x:v>
      </x:c>
      <x:c r="L138" s="53" t="str">
        <x:v>COMPLETE</x:v>
      </x:c>
    </x:row>
    <x:row r="139">
      <x:c r="A139" s="42" t="str">
        <x:v>GSE57065</x:v>
      </x:c>
      <x:c r="B139" s="43" t="str">
        <x:v>SIG034</x:v>
      </x:c>
      <x:c r="C139" s="43" t="str">
        <x:v>LCN2</x:v>
      </x:c>
      <x:c r="D139" s="55" t="n">
        <x:v>1</x:v>
      </x:c>
      <x:c r="E139" s="43" t="str">
        <x:v>LCN2</x:v>
      </x:c>
      <x:c r="F139" s="43" t="str">
        <x:v>LCN2</x:v>
      </x:c>
      <x:c r="G139" s="43" t="str">
        <x:v>NO</x:v>
      </x:c>
      <x:c r="H139" s="59" t="n">
        <x:v>5.05996</x:v>
      </x:c>
      <x:c r="I139" s="59" t="n">
        <x:v>13.1332</x:v>
      </x:c>
      <x:c r="J139" s="55" t="n">
        <x:v>0</x:v>
      </x:c>
      <x:c r="K139" s="55" t="n">
        <x:v>0</x:v>
      </x:c>
      <x:c r="L139" s="44" t="str">
        <x:v>COMPLETE</x:v>
      </x:c>
    </x:row>
    <x:row r="140">
      <x:c r="A140" s="51" t="str">
        <x:v>GSE57065</x:v>
      </x:c>
      <x:c r="B140" s="52" t="str">
        <x:v>SIG034</x:v>
      </x:c>
      <x:c r="C140" s="52" t="str">
        <x:v>CTSG</x:v>
      </x:c>
      <x:c r="D140" s="56" t="n">
        <x:v>1</x:v>
      </x:c>
      <x:c r="E140" s="52" t="str">
        <x:v>CTSG</x:v>
      </x:c>
      <x:c r="F140" s="52" t="str">
        <x:v>CTSG</x:v>
      </x:c>
      <x:c r="G140" s="52" t="str">
        <x:v>NO</x:v>
      </x:c>
      <x:c r="H140" s="60" t="n">
        <x:v>3.71235</x:v>
      </x:c>
      <x:c r="I140" s="60" t="n">
        <x:v>10.1348</x:v>
      </x:c>
      <x:c r="J140" s="56" t="n">
        <x:v>0</x:v>
      </x:c>
      <x:c r="K140" s="56" t="n">
        <x:v>0</x:v>
      </x:c>
      <x:c r="L140" s="53" t="str">
        <x:v>COMPLETE</x:v>
      </x:c>
    </x:row>
    <x:row r="141">
      <x:c r="A141" s="42" t="str">
        <x:v>GSE57065</x:v>
      </x:c>
      <x:c r="B141" s="43" t="str">
        <x:v>SIG034</x:v>
      </x:c>
      <x:c r="C141" s="43" t="str">
        <x:v>AZU1</x:v>
      </x:c>
      <x:c r="D141" s="55" t="n">
        <x:v>1</x:v>
      </x:c>
      <x:c r="E141" s="43" t="str">
        <x:v>AZU1</x:v>
      </x:c>
      <x:c r="F141" s="43" t="str">
        <x:v>AZU1</x:v>
      </x:c>
      <x:c r="G141" s="43" t="str">
        <x:v>NO</x:v>
      </x:c>
      <x:c r="H141" s="59" t="n">
        <x:v>3.01437</x:v>
      </x:c>
      <x:c r="I141" s="59" t="n">
        <x:v>10.6208</x:v>
      </x:c>
      <x:c r="J141" s="55" t="n">
        <x:v>0</x:v>
      </x:c>
      <x:c r="K141" s="55" t="n">
        <x:v>0</x:v>
      </x:c>
      <x:c r="L141" s="44" t="str">
        <x:v>COMPLETE</x:v>
      </x:c>
    </x:row>
    <x:row r="142">
      <x:c r="A142" s="51" t="str">
        <x:v>GSE57065</x:v>
      </x:c>
      <x:c r="B142" s="52" t="str">
        <x:v>SIG034</x:v>
      </x:c>
      <x:c r="C142" s="52" t="str">
        <x:v>MAFB</x:v>
      </x:c>
      <x:c r="D142" s="56" t="n">
        <x:v>2</x:v>
      </x:c>
      <x:c r="E142" s="52" t="str">
        <x:v>MAFB</x:v>
      </x:c>
      <x:c r="F142" s="52" t="str">
        <x:v>MAFB</x:v>
      </x:c>
      <x:c r="G142" s="52" t="str">
        <x:v>NO</x:v>
      </x:c>
      <x:c r="H142" s="60" t="n">
        <x:v>6.832145000000001</x:v>
      </x:c>
      <x:c r="I142" s="60" t="n">
        <x:v>10.171029999999998</x:v>
      </x:c>
      <x:c r="J142" s="56" t="n">
        <x:v>0</x:v>
      </x:c>
      <x:c r="K142" s="56" t="n">
        <x:v>0</x:v>
      </x:c>
      <x:c r="L142" s="53" t="str">
        <x:v>COMPLETE</x:v>
      </x:c>
    </x:row>
    <x:row r="143">
      <x:c r="A143" s="42" t="str">
        <x:v>GSE57065</x:v>
      </x:c>
      <x:c r="B143" s="43" t="str">
        <x:v>SIG034</x:v>
      </x:c>
      <x:c r="C143" s="43" t="str">
        <x:v>OASL</x:v>
      </x:c>
      <x:c r="D143" s="55" t="n">
        <x:v>2</x:v>
      </x:c>
      <x:c r="E143" s="43" t="str">
        <x:v>OASL</x:v>
      </x:c>
      <x:c r="F143" s="43" t="str">
        <x:v>OASL</x:v>
      </x:c>
      <x:c r="G143" s="43" t="str">
        <x:v>NO</x:v>
      </x:c>
      <x:c r="H143" s="59" t="n">
        <x:v>4.7232400000000005</x:v>
      </x:c>
      <x:c r="I143" s="59" t="n">
        <x:v>10.7936</x:v>
      </x:c>
      <x:c r="J143" s="55" t="n">
        <x:v>0</x:v>
      </x:c>
      <x:c r="K143" s="55" t="n">
        <x:v>0</x:v>
      </x:c>
      <x:c r="L143" s="44" t="str">
        <x:v>COMPLETE</x:v>
      </x:c>
    </x:row>
    <x:row r="144">
      <x:c r="A144" s="51" t="str">
        <x:v>GSE57065</x:v>
      </x:c>
      <x:c r="B144" s="52" t="str">
        <x:v>SIG034</x:v>
      </x:c>
      <x:c r="C144" s="52" t="str">
        <x:v>UBE2L6</x:v>
      </x:c>
      <x:c r="D144" s="56" t="n">
        <x:v>1</x:v>
      </x:c>
      <x:c r="E144" s="52" t="str">
        <x:v>UBE2L6</x:v>
      </x:c>
      <x:c r="F144" s="52" t="str">
        <x:v>UBE2L6</x:v>
      </x:c>
      <x:c r="G144" s="52" t="str">
        <x:v>NO</x:v>
      </x:c>
      <x:c r="H144" s="60" t="n">
        <x:v>6.1469</x:v>
      </x:c>
      <x:c r="I144" s="60" t="n">
        <x:v>10.9017</x:v>
      </x:c>
      <x:c r="J144" s="56" t="n">
        <x:v>0</x:v>
      </x:c>
      <x:c r="K144" s="56" t="n">
        <x:v>0</x:v>
      </x:c>
      <x:c r="L144" s="53" t="str">
        <x:v>COMPLETE</x:v>
      </x:c>
    </x:row>
    <x:row r="145">
      <x:c r="A145" s="42" t="str">
        <x:v>GSE57065</x:v>
      </x:c>
      <x:c r="B145" s="43" t="str">
        <x:v>SIG034</x:v>
      </x:c>
      <x:c r="C145" s="43" t="str">
        <x:v>VAMP5</x:v>
      </x:c>
      <x:c r="D145" s="55" t="n">
        <x:v>2</x:v>
      </x:c>
      <x:c r="E145" s="43" t="str">
        <x:v>VAMP5</x:v>
      </x:c>
      <x:c r="F145" s="43" t="str">
        <x:v>VAMP5</x:v>
      </x:c>
      <x:c r="G145" s="43" t="str">
        <x:v>NO</x:v>
      </x:c>
      <x:c r="H145" s="59" t="n">
        <x:v>3.9517</x:v>
      </x:c>
      <x:c r="I145" s="59" t="n">
        <x:v>6.144165</x:v>
      </x:c>
      <x:c r="J145" s="55" t="n">
        <x:v>0</x:v>
      </x:c>
      <x:c r="K145" s="55" t="n">
        <x:v>0</x:v>
      </x:c>
      <x:c r="L145" s="44" t="str">
        <x:v>COMPLETE</x:v>
      </x:c>
    </x:row>
    <x:row r="146">
      <x:c r="A146" s="51" t="str">
        <x:v>GSE57065</x:v>
      </x:c>
      <x:c r="B146" s="52" t="str">
        <x:v>SIG034</x:v>
      </x:c>
      <x:c r="C146" s="52" t="str">
        <x:v>CCL2</x:v>
      </x:c>
      <x:c r="D146" s="56" t="n">
        <x:v>1</x:v>
      </x:c>
      <x:c r="E146" s="52" t="str">
        <x:v>CCL2</x:v>
      </x:c>
      <x:c r="F146" s="52" t="str">
        <x:v>CCL2</x:v>
      </x:c>
      <x:c r="G146" s="52" t="str">
        <x:v>NO</x:v>
      </x:c>
      <x:c r="H146" s="60" t="n">
        <x:v>2.03102</x:v>
      </x:c>
      <x:c r="I146" s="60" t="n">
        <x:v>6.57581</x:v>
      </x:c>
      <x:c r="J146" s="56" t="n">
        <x:v>0</x:v>
      </x:c>
      <x:c r="K146" s="56" t="n">
        <x:v>0</x:v>
      </x:c>
      <x:c r="L146" s="53" t="str">
        <x:v>COMPLETE</x:v>
      </x:c>
    </x:row>
    <x:row r="147">
      <x:c r="A147" s="42" t="str">
        <x:v>GSE57065</x:v>
      </x:c>
      <x:c r="B147" s="43" t="str">
        <x:v>SIG034</x:v>
      </x:c>
      <x:c r="C147" s="43" t="str">
        <x:v>NAPA</x:v>
      </x:c>
      <x:c r="D147" s="55" t="n">
        <x:v>2</x:v>
      </x:c>
      <x:c r="E147" s="43" t="str">
        <x:v>NAPA</x:v>
      </x:c>
      <x:c r="F147" s="43" t="str">
        <x:v>NAPA</x:v>
      </x:c>
      <x:c r="G147" s="43" t="str">
        <x:v>NO</x:v>
      </x:c>
      <x:c r="H147" s="59" t="n">
        <x:v>7.128355</x:v>
      </x:c>
      <x:c r="I147" s="59" t="n">
        <x:v>9.69697</x:v>
      </x:c>
      <x:c r="J147" s="55" t="n">
        <x:v>0</x:v>
      </x:c>
      <x:c r="K147" s="55" t="n">
        <x:v>0</x:v>
      </x:c>
      <x:c r="L147" s="44" t="str">
        <x:v>COMPLETE</x:v>
      </x:c>
    </x:row>
    <x:row r="148">
      <x:c r="A148" s="51" t="str">
        <x:v>GSE57065</x:v>
      </x:c>
      <x:c r="B148" s="52" t="str">
        <x:v>SIG034</x:v>
      </x:c>
      <x:c r="C148" s="52" t="str">
        <x:v>ATG3</x:v>
      </x:c>
      <x:c r="D148" s="56" t="n">
        <x:v>2</x:v>
      </x:c>
      <x:c r="E148" s="52" t="str">
        <x:v>ATG3</x:v>
      </x:c>
      <x:c r="F148" s="52" t="str">
        <x:v>ATG3</x:v>
      </x:c>
      <x:c r="G148" s="52" t="str">
        <x:v>NO</x:v>
      </x:c>
      <x:c r="H148" s="60" t="n">
        <x:v>5.74131</x:v>
      </x:c>
      <x:c r="I148" s="60" t="n">
        <x:v>8.02807</x:v>
      </x:c>
      <x:c r="J148" s="56" t="n">
        <x:v>0</x:v>
      </x:c>
      <x:c r="K148" s="56" t="n">
        <x:v>0</x:v>
      </x:c>
      <x:c r="L148" s="53" t="str">
        <x:v>COMPLETE</x:v>
      </x:c>
    </x:row>
    <x:row r="149">
      <x:c r="A149" s="42" t="str">
        <x:v>GSE57065</x:v>
      </x:c>
      <x:c r="B149" s="43" t="str">
        <x:v>SIG034</x:v>
      </x:c>
      <x:c r="C149" s="43" t="str">
        <x:v>VRK2</x:v>
      </x:c>
      <x:c r="D149" s="55" t="n">
        <x:v>1</x:v>
      </x:c>
      <x:c r="E149" s="43" t="str">
        <x:v>VRK2</x:v>
      </x:c>
      <x:c r="F149" s="43" t="str">
        <x:v>VRK2</x:v>
      </x:c>
      <x:c r="G149" s="43" t="str">
        <x:v>NO</x:v>
      </x:c>
      <x:c r="H149" s="59" t="n">
        <x:v>5.40297</x:v>
      </x:c>
      <x:c r="I149" s="59" t="n">
        <x:v>8.14003</x:v>
      </x:c>
      <x:c r="J149" s="55" t="n">
        <x:v>0</x:v>
      </x:c>
      <x:c r="K149" s="55" t="n">
        <x:v>0</x:v>
      </x:c>
      <x:c r="L149" s="44" t="str">
        <x:v>COMPLETE</x:v>
      </x:c>
    </x:row>
    <x:row r="150">
      <x:c r="A150" s="51" t="str">
        <x:v>GSE57065</x:v>
      </x:c>
      <x:c r="B150" s="52" t="str">
        <x:v>SIG034</x:v>
      </x:c>
      <x:c r="C150" s="52" t="str">
        <x:v>TMEM123</x:v>
      </x:c>
      <x:c r="D150" s="56" t="n">
        <x:v>1</x:v>
      </x:c>
      <x:c r="E150" s="52" t="str">
        <x:v>TMEM123</x:v>
      </x:c>
      <x:c r="F150" s="52" t="str">
        <x:v>TMEM123</x:v>
      </x:c>
      <x:c r="G150" s="52" t="str">
        <x:v>NO</x:v>
      </x:c>
      <x:c r="H150" s="60" t="n">
        <x:v>7.40248</x:v>
      </x:c>
      <x:c r="I150" s="60" t="n">
        <x:v>11.1028</x:v>
      </x:c>
      <x:c r="J150" s="56" t="n">
        <x:v>0</x:v>
      </x:c>
      <x:c r="K150" s="56" t="n">
        <x:v>0</x:v>
      </x:c>
      <x:c r="L150" s="53" t="str">
        <x:v>COMPLETE</x:v>
      </x:c>
    </x:row>
    <x:row r="151">
      <x:c r="A151" s="42" t="str">
        <x:v>GSE57065</x:v>
      </x:c>
      <x:c r="B151" s="43" t="str">
        <x:v>SIG034</x:v>
      </x:c>
      <x:c r="C151" s="43" t="str">
        <x:v>CASP7</x:v>
      </x:c>
      <x:c r="D151" s="55" t="n">
        <x:v>1</x:v>
      </x:c>
      <x:c r="E151" s="43" t="str">
        <x:v>CASP7</x:v>
      </x:c>
      <x:c r="F151" s="43" t="str">
        <x:v>CASP7</x:v>
      </x:c>
      <x:c r="G151" s="43" t="str">
        <x:v>NO</x:v>
      </x:c>
      <x:c r="H151" s="59" t="n">
        <x:v>4.20097</x:v>
      </x:c>
      <x:c r="I151" s="59" t="n">
        <x:v>7.44187</x:v>
      </x:c>
      <x:c r="J151" s="55" t="n">
        <x:v>0</x:v>
      </x:c>
      <x:c r="K151" s="55" t="n">
        <x:v>0</x:v>
      </x:c>
      <x:c r="L151" s="44" t="str">
        <x:v>COMPLETE</x:v>
      </x:c>
    </x:row>
    <x:row r="152">
      <x:c r="A152" s="51" t="str">
        <x:v>GSE57065</x:v>
      </x:c>
      <x:c r="B152" s="52" t="str">
        <x:v>SIG034</x:v>
      </x:c>
      <x:c r="C152" s="52" t="str">
        <x:v>DOK2</x:v>
      </x:c>
      <x:c r="D152" s="56" t="n">
        <x:v>1</x:v>
      </x:c>
      <x:c r="E152" s="52" t="str">
        <x:v>DOK2</x:v>
      </x:c>
      <x:c r="F152" s="52" t="str">
        <x:v>DOK2</x:v>
      </x:c>
      <x:c r="G152" s="52" t="str">
        <x:v>NO</x:v>
      </x:c>
      <x:c r="H152" s="60" t="n">
        <x:v>6.02674</x:v>
      </x:c>
      <x:c r="I152" s="60" t="n">
        <x:v>8.82494</x:v>
      </x:c>
      <x:c r="J152" s="56" t="n">
        <x:v>0</x:v>
      </x:c>
      <x:c r="K152" s="56" t="n">
        <x:v>0</x:v>
      </x:c>
      <x:c r="L152" s="53" t="str">
        <x:v>COMPLETE</x:v>
      </x:c>
    </x:row>
    <x:row r="153">
      <x:c r="A153" s="42" t="str">
        <x:v>GSE57065</x:v>
      </x:c>
      <x:c r="B153" s="43" t="str">
        <x:v>SIG034</x:v>
      </x:c>
      <x:c r="C153" s="43" t="str">
        <x:v>HLA-DPB1</x:v>
      </x:c>
      <x:c r="D153" s="55" t="n">
        <x:v>2</x:v>
      </x:c>
      <x:c r="E153" s="43" t="str">
        <x:v>HLA-DPB1</x:v>
      </x:c>
      <x:c r="F153" s="43" t="str">
        <x:v>HLA-DPB1</x:v>
      </x:c>
      <x:c r="G153" s="43" t="str">
        <x:v>NO</x:v>
      </x:c>
      <x:c r="H153" s="59" t="n">
        <x:v>5.00229</x:v>
      </x:c>
      <x:c r="I153" s="59" t="n">
        <x:v>7.72585</x:v>
      </x:c>
      <x:c r="J153" s="55" t="n">
        <x:v>0</x:v>
      </x:c>
      <x:c r="K153" s="55" t="n">
        <x:v>0</x:v>
      </x:c>
      <x:c r="L153" s="44" t="str">
        <x:v>COMPLETE</x:v>
      </x:c>
    </x:row>
    <x:row r="154">
      <x:c r="A154" s="51" t="str">
        <x:v>GSE57065</x:v>
      </x:c>
      <x:c r="B154" s="52" t="str">
        <x:v>SIG034</x:v>
      </x:c>
      <x:c r="C154" s="52" t="str">
        <x:v>BUB3</x:v>
      </x:c>
      <x:c r="D154" s="56" t="n">
        <x:v>6</x:v>
      </x:c>
      <x:c r="E154" s="52" t="str">
        <x:v>BUB3</x:v>
      </x:c>
      <x:c r="F154" s="52" t="str">
        <x:v>BUB3</x:v>
      </x:c>
      <x:c r="G154" s="52" t="str">
        <x:v>NO</x:v>
      </x:c>
      <x:c r="H154" s="60" t="n">
        <x:v>4.951811666666667</x:v>
      </x:c>
      <x:c r="I154" s="60" t="n">
        <x:v>6.672108333333333</x:v>
      </x:c>
      <x:c r="J154" s="56" t="n">
        <x:v>0</x:v>
      </x:c>
      <x:c r="K154" s="56" t="n">
        <x:v>0</x:v>
      </x:c>
      <x:c r="L154" s="53" t="str">
        <x:v>COMPLETE</x:v>
      </x:c>
    </x:row>
    <x:row r="155">
      <x:c r="A155" s="42" t="str">
        <x:v>GSE57065</x:v>
      </x:c>
      <x:c r="B155" s="43" t="str">
        <x:v>SIG034</x:v>
      </x:c>
      <x:c r="C155" s="43" t="str">
        <x:v>SMYD2</x:v>
      </x:c>
      <x:c r="D155" s="55" t="n">
        <x:v>3</x:v>
      </x:c>
      <x:c r="E155" s="43" t="str">
        <x:v>SMYD2</x:v>
      </x:c>
      <x:c r="F155" s="43" t="str">
        <x:v>SMYD2</x:v>
      </x:c>
      <x:c r="G155" s="43" t="str">
        <x:v>NO</x:v>
      </x:c>
      <x:c r="H155" s="59" t="n">
        <x:v>4.286173333333333</x:v>
      </x:c>
      <x:c r="I155" s="59" t="n">
        <x:v>6.266686666666668</x:v>
      </x:c>
      <x:c r="J155" s="55" t="n">
        <x:v>0</x:v>
      </x:c>
      <x:c r="K155" s="55" t="n">
        <x:v>0</x:v>
      </x:c>
      <x:c r="L155" s="44" t="str">
        <x:v>COMPLETE</x:v>
      </x:c>
    </x:row>
    <x:row r="156">
      <x:c r="A156" s="51" t="str">
        <x:v>GSE57065</x:v>
      </x:c>
      <x:c r="B156" s="52" t="str">
        <x:v>SIG034</x:v>
      </x:c>
      <x:c r="C156" s="52" t="str">
        <x:v>SIDT1</x:v>
      </x:c>
      <x:c r="D156" s="56" t="n">
        <x:v>1</x:v>
      </x:c>
      <x:c r="E156" s="52" t="str">
        <x:v>SIDT1</x:v>
      </x:c>
      <x:c r="F156" s="52" t="str">
        <x:v>SIDT1</x:v>
      </x:c>
      <x:c r="G156" s="52" t="str">
        <x:v>NO</x:v>
      </x:c>
      <x:c r="H156" s="60" t="n">
        <x:v>3.39612</x:v>
      </x:c>
      <x:c r="I156" s="60" t="n">
        <x:v>7.23676</x:v>
      </x:c>
      <x:c r="J156" s="56" t="n">
        <x:v>0</x:v>
      </x:c>
      <x:c r="K156" s="56" t="n">
        <x:v>0</x:v>
      </x:c>
      <x:c r="L156" s="53" t="str">
        <x:v>COMPLETE</x:v>
      </x:c>
    </x:row>
    <x:row r="157">
      <x:c r="A157" s="42" t="str">
        <x:v>GSE57065</x:v>
      </x:c>
      <x:c r="B157" s="43" t="str">
        <x:v>SIG034</x:v>
      </x:c>
      <x:c r="C157" s="43" t="str">
        <x:v>EXOC2</x:v>
      </x:c>
      <x:c r="D157" s="55" t="n">
        <x:v>2</x:v>
      </x:c>
      <x:c r="E157" s="43" t="str">
        <x:v>EXOC2</x:v>
      </x:c>
      <x:c r="F157" s="43" t="str">
        <x:v>EXOC2</x:v>
      </x:c>
      <x:c r="G157" s="43" t="str">
        <x:v>NO</x:v>
      </x:c>
      <x:c r="H157" s="59" t="n">
        <x:v>4.1384050000000006</x:v>
      </x:c>
      <x:c r="I157" s="59" t="n">
        <x:v>6.475395</x:v>
      </x:c>
      <x:c r="J157" s="55" t="n">
        <x:v>0</x:v>
      </x:c>
      <x:c r="K157" s="55" t="n">
        <x:v>0</x:v>
      </x:c>
      <x:c r="L157" s="44" t="str">
        <x:v>COMPLETE</x:v>
      </x:c>
    </x:row>
    <x:row r="158">
      <x:c r="A158" s="51" t="str">
        <x:v>GSE57065</x:v>
      </x:c>
      <x:c r="B158" s="52" t="str">
        <x:v>SIG034</x:v>
      </x:c>
      <x:c r="C158" s="52" t="str">
        <x:v>TRIB2</x:v>
      </x:c>
      <x:c r="D158" s="56" t="n">
        <x:v>2</x:v>
      </x:c>
      <x:c r="E158" s="52" t="str">
        <x:v>TRIB2</x:v>
      </x:c>
      <x:c r="F158" s="52" t="str">
        <x:v>TRIB2</x:v>
      </x:c>
      <x:c r="G158" s="52" t="str">
        <x:v>NO</x:v>
      </x:c>
      <x:c r="H158" s="60" t="n">
        <x:v>3.924235</x:v>
      </x:c>
      <x:c r="I158" s="60" t="n">
        <x:v>7.792225</x:v>
      </x:c>
      <x:c r="J158" s="56" t="n">
        <x:v>0</x:v>
      </x:c>
      <x:c r="K158" s="56" t="n">
        <x:v>0</x:v>
      </x:c>
      <x:c r="L158" s="53" t="str">
        <x:v>COMPLETE</x:v>
      </x:c>
    </x:row>
    <x:row r="159">
      <x:c r="A159" s="42" t="str">
        <x:v>GSE57065</x:v>
      </x:c>
      <x:c r="B159" s="43" t="str">
        <x:v>SIG034</x:v>
      </x:c>
      <x:c r="C159" s="43" t="str">
        <x:v>KLRB1</x:v>
      </x:c>
      <x:c r="D159" s="55" t="n">
        <x:v>1</x:v>
      </x:c>
      <x:c r="E159" s="43" t="str">
        <x:v>KLRB1</x:v>
      </x:c>
      <x:c r="F159" s="43" t="str">
        <x:v>KLRB1</x:v>
      </x:c>
      <x:c r="G159" s="43" t="str">
        <x:v>NO</x:v>
      </x:c>
      <x:c r="H159" s="59" t="n">
        <x:v>4.69934</x:v>
      </x:c>
      <x:c r="I159" s="59" t="n">
        <x:v>9.60693</x:v>
      </x:c>
      <x:c r="J159" s="55" t="n">
        <x:v>0</x:v>
      </x:c>
      <x:c r="K159" s="55" t="n">
        <x:v>0</x:v>
      </x:c>
      <x:c r="L159" s="44" t="str">
        <x:v>COMPLETE</x:v>
      </x:c>
    </x:row>
    <x:row r="160">
      <x:c r="A160" s="51" t="str">
        <x:v>GSE95233</x:v>
      </x:c>
      <x:c r="B160" s="52" t="str">
        <x:v>SIG001</x:v>
      </x:c>
      <x:c r="C160" s="52" t="str">
        <x:v>CEACAM1</x:v>
      </x:c>
      <x:c r="D160" s="56" t="n">
        <x:v>5</x:v>
      </x:c>
      <x:c r="E160" s="52" t="str">
        <x:v>CEACAM1</x:v>
      </x:c>
      <x:c r="F160" s="52" t="str">
        <x:v>CEACAM1</x:v>
      </x:c>
      <x:c r="G160" s="52" t="str">
        <x:v>NO</x:v>
      </x:c>
      <x:c r="H160" s="60" t="n">
        <x:v>5.371954198000001</x:v>
      </x:c>
      <x:c r="I160" s="60" t="n">
        <x:v>10.34913634</x:v>
      </x:c>
      <x:c r="J160" s="56" t="n">
        <x:v>0</x:v>
      </x:c>
      <x:c r="K160" s="56" t="n">
        <x:v>0</x:v>
      </x:c>
      <x:c r="L160" s="53" t="str">
        <x:v>COMPLETE</x:v>
      </x:c>
    </x:row>
    <x:row r="161">
      <x:c r="A161" s="42" t="str">
        <x:v>GSE95233</x:v>
      </x:c>
      <x:c r="B161" s="43" t="str">
        <x:v>SIG001</x:v>
      </x:c>
      <x:c r="C161" s="43" t="str">
        <x:v>ZDHHC19</x:v>
      </x:c>
      <x:c r="D161" s="55" t="n">
        <x:v>2</x:v>
      </x:c>
      <x:c r="E161" s="43" t="str">
        <x:v>ZDHHC19</x:v>
      </x:c>
      <x:c r="F161" s="43" t="str">
        <x:v>ZDHHC19</x:v>
      </x:c>
      <x:c r="G161" s="43" t="str">
        <x:v>NO</x:v>
      </x:c>
      <x:c r="H161" s="59" t="n">
        <x:v>3.5259605</x:v>
      </x:c>
      <x:c r="I161" s="59" t="n">
        <x:v>8.81114799</x:v>
      </x:c>
      <x:c r="J161" s="55" t="n">
        <x:v>0</x:v>
      </x:c>
      <x:c r="K161" s="55" t="n">
        <x:v>0</x:v>
      </x:c>
      <x:c r="L161" s="44" t="str">
        <x:v>COMPLETE</x:v>
      </x:c>
    </x:row>
    <x:row r="162">
      <x:c r="A162" s="51" t="str">
        <x:v>GSE95233</x:v>
      </x:c>
      <x:c r="B162" s="52" t="str">
        <x:v>SIG001</x:v>
      </x:c>
      <x:c r="C162" s="52" t="str">
        <x:v>NMRK1</x:v>
      </x:c>
      <x:c r="D162" s="56" t="n">
        <x:v>2</x:v>
      </x:c>
      <x:c r="E162" s="52" t="str">
        <x:v>NMRK1</x:v>
      </x:c>
      <x:c r="F162" s="52" t="str">
        <x:v>NMRK1</x:v>
      </x:c>
      <x:c r="G162" s="52" t="str">
        <x:v>NO</x:v>
      </x:c>
      <x:c r="H162" s="60" t="n">
        <x:v>5.148536875</x:v>
      </x:c>
      <x:c r="I162" s="60" t="n">
        <x:v>7.33466081</x:v>
      </x:c>
      <x:c r="J162" s="56" t="n">
        <x:v>0</x:v>
      </x:c>
      <x:c r="K162" s="56" t="n">
        <x:v>0</x:v>
      </x:c>
      <x:c r="L162" s="53" t="str">
        <x:v>COMPLETE</x:v>
      </x:c>
    </x:row>
    <x:row r="163">
      <x:c r="A163" s="42" t="str">
        <x:v>GSE95233</x:v>
      </x:c>
      <x:c r="B163" s="43" t="str">
        <x:v>SIG001</x:v>
      </x:c>
      <x:c r="C163" s="43" t="str">
        <x:v>GNA15</x:v>
      </x:c>
      <x:c r="D163" s="55" t="n">
        <x:v>1</x:v>
      </x:c>
      <x:c r="E163" s="43" t="str">
        <x:v>GNA15</x:v>
      </x:c>
      <x:c r="F163" s="43" t="str">
        <x:v>GNA15</x:v>
      </x:c>
      <x:c r="G163" s="43" t="str">
        <x:v>NO</x:v>
      </x:c>
      <x:c r="H163" s="59" t="n">
        <x:v>4.67892194</x:v>
      </x:c>
      <x:c r="I163" s="59" t="n">
        <x:v>7.68003783</x:v>
      </x:c>
      <x:c r="J163" s="55" t="n">
        <x:v>0</x:v>
      </x:c>
      <x:c r="K163" s="55" t="n">
        <x:v>0</x:v>
      </x:c>
      <x:c r="L163" s="44" t="str">
        <x:v>COMPLETE</x:v>
      </x:c>
    </x:row>
    <x:row r="164">
      <x:c r="A164" s="51" t="str">
        <x:v>GSE95233</x:v>
      </x:c>
      <x:c r="B164" s="52" t="str">
        <x:v>SIG001</x:v>
      </x:c>
      <x:c r="C164" s="52" t="str">
        <x:v>BATF</x:v>
      </x:c>
      <x:c r="D164" s="56" t="n">
        <x:v>1</x:v>
      </x:c>
      <x:c r="E164" s="52" t="str">
        <x:v>BATF</x:v>
      </x:c>
      <x:c r="F164" s="52" t="str">
        <x:v>BATF</x:v>
      </x:c>
      <x:c r="G164" s="52" t="str">
        <x:v>NO</x:v>
      </x:c>
      <x:c r="H164" s="60" t="n">
        <x:v>5.68781674</x:v>
      </x:c>
      <x:c r="I164" s="60" t="n">
        <x:v>8.57573916</x:v>
      </x:c>
      <x:c r="J164" s="56" t="n">
        <x:v>0</x:v>
      </x:c>
      <x:c r="K164" s="56" t="n">
        <x:v>0</x:v>
      </x:c>
      <x:c r="L164" s="53" t="str">
        <x:v>COMPLETE</x:v>
      </x:c>
    </x:row>
    <x:row r="165">
      <x:c r="A165" s="42" t="str">
        <x:v>GSE95233</x:v>
      </x:c>
      <x:c r="B165" s="43" t="str">
        <x:v>SIG001</x:v>
      </x:c>
      <x:c r="C165" s="43" t="str">
        <x:v>C3AR1</x:v>
      </x:c>
      <x:c r="D165" s="55" t="n">
        <x:v>1</x:v>
      </x:c>
      <x:c r="E165" s="43" t="str">
        <x:v>C3AR1</x:v>
      </x:c>
      <x:c r="F165" s="43" t="str">
        <x:v>C3AR1</x:v>
      </x:c>
      <x:c r="G165" s="43" t="str">
        <x:v>NO</x:v>
      </x:c>
      <x:c r="H165" s="59" t="n">
        <x:v>6.2533421</x:v>
      </x:c>
      <x:c r="I165" s="59" t="n">
        <x:v>11.04482897</x:v>
      </x:c>
      <x:c r="J165" s="55" t="n">
        <x:v>0</x:v>
      </x:c>
      <x:c r="K165" s="55" t="n">
        <x:v>0</x:v>
      </x:c>
      <x:c r="L165" s="44" t="str">
        <x:v>COMPLETE</x:v>
      </x:c>
    </x:row>
    <x:row r="166">
      <x:c r="A166" s="51" t="str">
        <x:v>GSE95233</x:v>
      </x:c>
      <x:c r="B166" s="52" t="str">
        <x:v>SIG001</x:v>
      </x:c>
      <x:c r="C166" s="52" t="str">
        <x:v>FAM214A</x:v>
      </x:c>
      <x:c r="D166" s="56" t="n">
        <x:v>2</x:v>
      </x:c>
      <x:c r="E166" s="52" t="str">
        <x:v>FAM214A</x:v>
      </x:c>
      <x:c r="F166" s="52" t="str">
        <x:v>FAM214A</x:v>
      </x:c>
      <x:c r="G166" s="52" t="str">
        <x:v>NO</x:v>
      </x:c>
      <x:c r="H166" s="60" t="n">
        <x:v>4.86024578</x:v>
      </x:c>
      <x:c r="I166" s="60" t="n">
        <x:v>6.796293155</x:v>
      </x:c>
      <x:c r="J166" s="56" t="n">
        <x:v>0</x:v>
      </x:c>
      <x:c r="K166" s="56" t="n">
        <x:v>0</x:v>
      </x:c>
      <x:c r="L166" s="53" t="str">
        <x:v>COMPLETE</x:v>
      </x:c>
    </x:row>
    <x:row r="167">
      <x:c r="A167" s="42" t="str">
        <x:v>GSE95233</x:v>
      </x:c>
      <x:c r="B167" s="43" t="str">
        <x:v>SIG001</x:v>
      </x:c>
      <x:c r="C167" s="43" t="str">
        <x:v>TGFBI</x:v>
      </x:c>
      <x:c r="D167" s="55" t="n">
        <x:v>1</x:v>
      </x:c>
      <x:c r="E167" s="43" t="str">
        <x:v>TGFBI</x:v>
      </x:c>
      <x:c r="F167" s="43" t="str">
        <x:v>TGFBI</x:v>
      </x:c>
      <x:c r="G167" s="43" t="str">
        <x:v>NO</x:v>
      </x:c>
      <x:c r="H167" s="59" t="n">
        <x:v>4.61841257</x:v>
      </x:c>
      <x:c r="I167" s="59" t="n">
        <x:v>9.94197126</x:v>
      </x:c>
      <x:c r="J167" s="55" t="n">
        <x:v>0</x:v>
      </x:c>
      <x:c r="K167" s="55" t="n">
        <x:v>0</x:v>
      </x:c>
      <x:c r="L167" s="44" t="str">
        <x:v>COMPLETE</x:v>
      </x:c>
    </x:row>
    <x:row r="168">
      <x:c r="A168" s="51" t="str">
        <x:v>GSE95233</x:v>
      </x:c>
      <x:c r="B168" s="52" t="str">
        <x:v>SIG001</x:v>
      </x:c>
      <x:c r="C168" s="52" t="str">
        <x:v>MTCH1</x:v>
      </x:c>
      <x:c r="D168" s="56" t="n">
        <x:v>1</x:v>
      </x:c>
      <x:c r="E168" s="52" t="str">
        <x:v>MTCH1</x:v>
      </x:c>
      <x:c r="F168" s="52" t="str">
        <x:v>MTCH1</x:v>
      </x:c>
      <x:c r="G168" s="52" t="str">
        <x:v>NO</x:v>
      </x:c>
      <x:c r="H168" s="60" t="n">
        <x:v>8.24948551</x:v>
      </x:c>
      <x:c r="I168" s="60" t="n">
        <x:v>9.43192601</x:v>
      </x:c>
      <x:c r="J168" s="56" t="n">
        <x:v>0</x:v>
      </x:c>
      <x:c r="K168" s="56" t="n">
        <x:v>0</x:v>
      </x:c>
      <x:c r="L168" s="53" t="str">
        <x:v>COMPLETE</x:v>
      </x:c>
    </x:row>
    <x:row r="169">
      <x:c r="A169" s="42" t="str">
        <x:v>GSE95233</x:v>
      </x:c>
      <x:c r="B169" s="43" t="str">
        <x:v>SIG001</x:v>
      </x:c>
      <x:c r="C169" s="43" t="str">
        <x:v>RPGRIP1</x:v>
      </x:c>
      <x:c r="D169" s="55" t="n">
        <x:v>1</x:v>
      </x:c>
      <x:c r="E169" s="43" t="str">
        <x:v>RPGRIP1</x:v>
      </x:c>
      <x:c r="F169" s="43" t="str">
        <x:v>RPGRIP1</x:v>
      </x:c>
      <x:c r="G169" s="43" t="str">
        <x:v>NO</x:v>
      </x:c>
      <x:c r="H169" s="59" t="n">
        <x:v>3.03351402</x:v>
      </x:c>
      <x:c r="I169" s="59" t="n">
        <x:v>5.78367398</x:v>
      </x:c>
      <x:c r="J169" s="55" t="n">
        <x:v>0</x:v>
      </x:c>
      <x:c r="K169" s="55" t="n">
        <x:v>0</x:v>
      </x:c>
      <x:c r="L169" s="44" t="str">
        <x:v>COMPLETE</x:v>
      </x:c>
    </x:row>
    <x:row r="170">
      <x:c r="A170" s="51" t="str">
        <x:v>GSE95233</x:v>
      </x:c>
      <x:c r="B170" s="52" t="str">
        <x:v>SIG001</x:v>
      </x:c>
      <x:c r="C170" s="52" t="str">
        <x:v>HLA-DPB1</x:v>
      </x:c>
      <x:c r="D170" s="56" t="n">
        <x:v>2</x:v>
      </x:c>
      <x:c r="E170" s="52" t="str">
        <x:v>HLA-DPB1</x:v>
      </x:c>
      <x:c r="F170" s="52" t="str">
        <x:v>HLA-DPB1</x:v>
      </x:c>
      <x:c r="G170" s="52" t="str">
        <x:v>NO</x:v>
      </x:c>
      <x:c r="H170" s="60" t="n">
        <x:v>4.72783018</x:v>
      </x:c>
      <x:c r="I170" s="60" t="n">
        <x:v>8.8411668</x:v>
      </x:c>
      <x:c r="J170" s="56" t="n">
        <x:v>0</x:v>
      </x:c>
      <x:c r="K170" s="56" t="n">
        <x:v>0</x:v>
      </x:c>
      <x:c r="L170" s="53" t="str">
        <x:v>COMPLETE</x:v>
      </x:c>
    </x:row>
    <x:row r="171">
      <x:c r="A171" s="42" t="str">
        <x:v>GSE95233</x:v>
      </x:c>
      <x:c r="B171" s="43" t="str">
        <x:v>SIG002</x:v>
      </x:c>
      <x:c r="C171" s="43" t="str">
        <x:v>PLAC8</x:v>
      </x:c>
      <x:c r="D171" s="55" t="n">
        <x:v>1</x:v>
      </x:c>
      <x:c r="E171" s="43" t="str">
        <x:v>PLAC8</x:v>
      </x:c>
      <x:c r="F171" s="43" t="str">
        <x:v>PLAC8</x:v>
      </x:c>
      <x:c r="G171" s="43" t="str">
        <x:v>NO</x:v>
      </x:c>
      <x:c r="H171" s="59" t="n">
        <x:v>8.69221904</x:v>
      </x:c>
      <x:c r="I171" s="59" t="n">
        <x:v>12.77258341</x:v>
      </x:c>
      <x:c r="J171" s="55" t="n">
        <x:v>0</x:v>
      </x:c>
      <x:c r="K171" s="55" t="n">
        <x:v>0</x:v>
      </x:c>
      <x:c r="L171" s="44" t="str">
        <x:v>COMPLETE</x:v>
      </x:c>
    </x:row>
    <x:row r="172">
      <x:c r="A172" s="51" t="str">
        <x:v>GSE95233</x:v>
      </x:c>
      <x:c r="B172" s="52" t="str">
        <x:v>SIG002</x:v>
      </x:c>
      <x:c r="C172" s="52" t="str">
        <x:v>LAMP1</x:v>
      </x:c>
      <x:c r="D172" s="56" t="n">
        <x:v>4</x:v>
      </x:c>
      <x:c r="E172" s="52" t="str">
        <x:v>LAMP1</x:v>
      </x:c>
      <x:c r="F172" s="52" t="str">
        <x:v>LAMP1</x:v>
      </x:c>
      <x:c r="G172" s="52" t="str">
        <x:v>NO</x:v>
      </x:c>
      <x:c r="H172" s="60" t="n">
        <x:v>8.596072515000001</x:v>
      </x:c>
      <x:c r="I172" s="60" t="n">
        <x:v>9.7404507075</x:v>
      </x:c>
      <x:c r="J172" s="56" t="n">
        <x:v>0</x:v>
      </x:c>
      <x:c r="K172" s="56" t="n">
        <x:v>0</x:v>
      </x:c>
      <x:c r="L172" s="53" t="str">
        <x:v>COMPLETE</x:v>
      </x:c>
    </x:row>
    <x:row r="173">
      <x:c r="A173" s="42" t="str">
        <x:v>GSE95233</x:v>
      </x:c>
      <x:c r="B173" s="43" t="str">
        <x:v>SIG002</x:v>
      </x:c>
      <x:c r="C173" s="43" t="str">
        <x:v>PLA2G7</x:v>
      </x:c>
      <x:c r="D173" s="55" t="n">
        <x:v>1</x:v>
      </x:c>
      <x:c r="E173" s="43" t="str">
        <x:v>PLA2G7</x:v>
      </x:c>
      <x:c r="F173" s="43" t="str">
        <x:v>PLA2G7</x:v>
      </x:c>
      <x:c r="G173" s="43" t="str">
        <x:v>NO</x:v>
      </x:c>
      <x:c r="H173" s="59" t="n">
        <x:v>3.46461771</x:v>
      </x:c>
      <x:c r="I173" s="59" t="n">
        <x:v>7.07812954</x:v>
      </x:c>
      <x:c r="J173" s="55" t="n">
        <x:v>0</x:v>
      </x:c>
      <x:c r="K173" s="55" t="n">
        <x:v>0</x:v>
      </x:c>
      <x:c r="L173" s="44" t="str">
        <x:v>COMPLETE</x:v>
      </x:c>
    </x:row>
    <x:row r="174">
      <x:c r="A174" s="51" t="str">
        <x:v>GSE95233</x:v>
      </x:c>
      <x:c r="B174" s="52" t="str">
        <x:v>SIG002</x:v>
      </x:c>
      <x:c r="C174" s="52" t="str">
        <x:v>CEACAM4</x:v>
      </x:c>
      <x:c r="D174" s="56" t="n">
        <x:v>1</x:v>
      </x:c>
      <x:c r="E174" s="52" t="str">
        <x:v>CEACAM4</x:v>
      </x:c>
      <x:c r="F174" s="52" t="str">
        <x:v>CEACAM4</x:v>
      </x:c>
      <x:c r="G174" s="52" t="str">
        <x:v>NO</x:v>
      </x:c>
      <x:c r="H174" s="60" t="n">
        <x:v>3.70952832</x:v>
      </x:c>
      <x:c r="I174" s="60" t="n">
        <x:v>6.93171962</x:v>
      </x:c>
      <x:c r="J174" s="56" t="n">
        <x:v>0</x:v>
      </x:c>
      <x:c r="K174" s="56" t="n">
        <x:v>0</x:v>
      </x:c>
      <x:c r="L174" s="53" t="str">
        <x:v>COMPLETE</x:v>
      </x:c>
    </x:row>
    <x:row r="175">
      <x:c r="A175" s="42" t="str">
        <x:v>GSE95233</x:v>
      </x:c>
      <x:c r="B175" s="43" t="str">
        <x:v>SIG003</x:v>
      </x:c>
      <x:c r="C175" s="43" t="str">
        <x:v>FAIM3</x:v>
      </x:c>
      <x:c r="D175" s="55" t="n">
        <x:v>2</x:v>
      </x:c>
      <x:c r="E175" s="43" t="str">
        <x:v>FCMR</x:v>
      </x:c>
      <x:c r="F175" s="43" t="str">
        <x:v>FAIM3</x:v>
      </x:c>
      <x:c r="G175" s="43" t="str">
        <x:v>YES</x:v>
      </x:c>
      <x:c r="H175" s="59" t="n">
        <x:v>5.428281555</x:v>
      </x:c>
      <x:c r="I175" s="59" t="n">
        <x:v>10.147782185</x:v>
      </x:c>
      <x:c r="J175" s="55" t="n">
        <x:v>0</x:v>
      </x:c>
      <x:c r="K175" s="55" t="n">
        <x:v>0</x:v>
      </x:c>
      <x:c r="L175" s="44" t="str">
        <x:v>COMPLETE</x:v>
      </x:c>
    </x:row>
    <x:row r="176">
      <x:c r="A176" s="51" t="str">
        <x:v>GSE95233</x:v>
      </x:c>
      <x:c r="B176" s="52" t="str">
        <x:v>SIG003</x:v>
      </x:c>
      <x:c r="C176" s="52" t="str">
        <x:v>PLAC8</x:v>
      </x:c>
      <x:c r="D176" s="56" t="n">
        <x:v>1</x:v>
      </x:c>
      <x:c r="E176" s="52" t="str">
        <x:v>PLAC8</x:v>
      </x:c>
      <x:c r="F176" s="52" t="str">
        <x:v>PLAC8</x:v>
      </x:c>
      <x:c r="G176" s="52" t="str">
        <x:v>NO</x:v>
      </x:c>
      <x:c r="H176" s="60" t="n">
        <x:v>8.69221904</x:v>
      </x:c>
      <x:c r="I176" s="60" t="n">
        <x:v>12.77258341</x:v>
      </x:c>
      <x:c r="J176" s="56" t="n">
        <x:v>0</x:v>
      </x:c>
      <x:c r="K176" s="56" t="n">
        <x:v>0</x:v>
      </x:c>
      <x:c r="L176" s="53" t="str">
        <x:v>COMPLETE</x:v>
      </x:c>
    </x:row>
    <x:row r="177">
      <x:c r="A177" s="42" t="str">
        <x:v>GSE95233</x:v>
      </x:c>
      <x:c r="B177" s="43" t="str">
        <x:v>SIG004</x:v>
      </x:c>
      <x:c r="C177" s="43" t="str">
        <x:v>NLRP1</x:v>
      </x:c>
      <x:c r="D177" s="55" t="n">
        <x:v>5</x:v>
      </x:c>
      <x:c r="E177" s="43" t="str">
        <x:v>NLRP1</x:v>
      </x:c>
      <x:c r="F177" s="43" t="str">
        <x:v>NLRP1</x:v>
      </x:c>
      <x:c r="G177" s="43" t="str">
        <x:v>NO</x:v>
      </x:c>
      <x:c r="H177" s="59" t="n">
        <x:v>4.58483027</x:v>
      </x:c>
      <x:c r="I177" s="59" t="n">
        <x:v>6.770622754</x:v>
      </x:c>
      <x:c r="J177" s="55" t="n">
        <x:v>0</x:v>
      </x:c>
      <x:c r="K177" s="55" t="n">
        <x:v>0</x:v>
      </x:c>
      <x:c r="L177" s="44" t="str">
        <x:v>COMPLETE</x:v>
      </x:c>
    </x:row>
    <x:row r="178">
      <x:c r="A178" s="51" t="str">
        <x:v>GSE95233</x:v>
      </x:c>
      <x:c r="B178" s="52" t="str">
        <x:v>SIG004</x:v>
      </x:c>
      <x:c r="C178" s="52" t="str">
        <x:v>IDNK</x:v>
      </x:c>
      <x:c r="D178" s="56" t="n">
        <x:v>2</x:v>
      </x:c>
      <x:c r="E178" s="52" t="str">
        <x:v>IDNK</x:v>
      </x:c>
      <x:c r="F178" s="52" t="str">
        <x:v>IDNK</x:v>
      </x:c>
      <x:c r="G178" s="52" t="str">
        <x:v>NO</x:v>
      </x:c>
      <x:c r="H178" s="60" t="n">
        <x:v>6.382065265</x:v>
      </x:c>
      <x:c r="I178" s="60" t="n">
        <x:v>8.92257826</x:v>
      </x:c>
      <x:c r="J178" s="56" t="n">
        <x:v>0</x:v>
      </x:c>
      <x:c r="K178" s="56" t="n">
        <x:v>0</x:v>
      </x:c>
      <x:c r="L178" s="53" t="str">
        <x:v>COMPLETE</x:v>
      </x:c>
    </x:row>
    <x:row r="179">
      <x:c r="A179" s="42" t="str">
        <x:v>GSE95233</x:v>
      </x:c>
      <x:c r="B179" s="43" t="str">
        <x:v>SIG004</x:v>
      </x:c>
      <x:c r="C179" s="43" t="str">
        <x:v>PLAC8</x:v>
      </x:c>
      <x:c r="D179" s="55" t="n">
        <x:v>1</x:v>
      </x:c>
      <x:c r="E179" s="43" t="str">
        <x:v>PLAC8</x:v>
      </x:c>
      <x:c r="F179" s="43" t="str">
        <x:v>PLAC8</x:v>
      </x:c>
      <x:c r="G179" s="43" t="str">
        <x:v>NO</x:v>
      </x:c>
      <x:c r="H179" s="59" t="n">
        <x:v>8.69221904</x:v>
      </x:c>
      <x:c r="I179" s="59" t="n">
        <x:v>12.77258341</x:v>
      </x:c>
      <x:c r="J179" s="55" t="n">
        <x:v>0</x:v>
      </x:c>
      <x:c r="K179" s="55" t="n">
        <x:v>0</x:v>
      </x:c>
      <x:c r="L179" s="44" t="str">
        <x:v>COMPLETE</x:v>
      </x:c>
    </x:row>
    <x:row r="180">
      <x:c r="A180" s="51" t="str">
        <x:v>GSE95233</x:v>
      </x:c>
      <x:c r="B180" s="52" t="str">
        <x:v>SIG022</x:v>
      </x:c>
      <x:c r="C180" s="52" t="str">
        <x:v>IFI27</x:v>
      </x:c>
      <x:c r="D180" s="56" t="n">
        <x:v>1</x:v>
      </x:c>
      <x:c r="E180" s="52" t="str">
        <x:v>IFI27</x:v>
      </x:c>
      <x:c r="F180" s="52" t="str">
        <x:v>IFI27</x:v>
      </x:c>
      <x:c r="G180" s="52" t="str">
        <x:v>NO</x:v>
      </x:c>
      <x:c r="H180" s="60" t="n">
        <x:v>3.90670656</x:v>
      </x:c>
      <x:c r="I180" s="60" t="n">
        <x:v>11.96143578</x:v>
      </x:c>
      <x:c r="J180" s="56" t="n">
        <x:v>0</x:v>
      </x:c>
      <x:c r="K180" s="56" t="n">
        <x:v>0</x:v>
      </x:c>
      <x:c r="L180" s="53" t="str">
        <x:v>COMPLETE</x:v>
      </x:c>
    </x:row>
    <x:row r="181">
      <x:c r="A181" s="42" t="str">
        <x:v>GSE95233</x:v>
      </x:c>
      <x:c r="B181" s="43" t="str">
        <x:v>SIG022</x:v>
      </x:c>
      <x:c r="C181" s="43" t="str">
        <x:v>JUP</x:v>
      </x:c>
      <x:c r="D181" s="55" t="n">
        <x:v>3</x:v>
      </x:c>
      <x:c r="E181" s="43" t="str">
        <x:v>JUP; KRT17///JUP</x:v>
      </x:c>
      <x:c r="F181" s="43" t="str">
        <x:v>JUP</x:v>
      </x:c>
      <x:c r="G181" s="43" t="str">
        <x:v>YES</x:v>
      </x:c>
      <x:c r="H181" s="59" t="n">
        <x:v>4.048171409999999</x:v>
      </x:c>
      <x:c r="I181" s="59" t="n">
        <x:v>5.1151937</x:v>
      </x:c>
      <x:c r="J181" s="55" t="n">
        <x:v>0</x:v>
      </x:c>
      <x:c r="K181" s="55" t="n">
        <x:v>0</x:v>
      </x:c>
      <x:c r="L181" s="44" t="str">
        <x:v>COMPLETE</x:v>
      </x:c>
    </x:row>
    <x:row r="182">
      <x:c r="A182" s="51" t="str">
        <x:v>GSE95233</x:v>
      </x:c>
      <x:c r="B182" s="52" t="str">
        <x:v>SIG022</x:v>
      </x:c>
      <x:c r="C182" s="52" t="str">
        <x:v>LAX1</x:v>
      </x:c>
      <x:c r="D182" s="56" t="n">
        <x:v>1</x:v>
      </x:c>
      <x:c r="E182" s="52" t="str">
        <x:v>LAX1</x:v>
      </x:c>
      <x:c r="F182" s="52" t="str">
        <x:v>LAX1</x:v>
      </x:c>
      <x:c r="G182" s="52" t="str">
        <x:v>NO</x:v>
      </x:c>
      <x:c r="H182" s="60" t="n">
        <x:v>4.28290547</x:v>
      </x:c>
      <x:c r="I182" s="60" t="n">
        <x:v>6.74772102</x:v>
      </x:c>
      <x:c r="J182" s="56" t="n">
        <x:v>0</x:v>
      </x:c>
      <x:c r="K182" s="56" t="n">
        <x:v>0</x:v>
      </x:c>
      <x:c r="L182" s="53" t="str">
        <x:v>COMPLETE</x:v>
      </x:c>
    </x:row>
    <x:row r="183">
      <x:c r="A183" s="42" t="str">
        <x:v>GSE95233</x:v>
      </x:c>
      <x:c r="B183" s="43" t="str">
        <x:v>SIG022</x:v>
      </x:c>
      <x:c r="C183" s="43" t="str">
        <x:v>HK3</x:v>
      </x:c>
      <x:c r="D183" s="55" t="n">
        <x:v>1</x:v>
      </x:c>
      <x:c r="E183" s="43" t="str">
        <x:v>HK3</x:v>
      </x:c>
      <x:c r="F183" s="43" t="str">
        <x:v>HK3</x:v>
      </x:c>
      <x:c r="G183" s="43" t="str">
        <x:v>NO</x:v>
      </x:c>
      <x:c r="H183" s="59" t="n">
        <x:v>5.84003654</x:v>
      </x:c>
      <x:c r="I183" s="59" t="n">
        <x:v>9.99689986</x:v>
      </x:c>
      <x:c r="J183" s="55" t="n">
        <x:v>0</x:v>
      </x:c>
      <x:c r="K183" s="55" t="n">
        <x:v>0</x:v>
      </x:c>
      <x:c r="L183" s="44" t="str">
        <x:v>COMPLETE</x:v>
      </x:c>
    </x:row>
    <x:row r="184">
      <x:c r="A184" s="51" t="str">
        <x:v>GSE95233</x:v>
      </x:c>
      <x:c r="B184" s="52" t="str">
        <x:v>SIG022</x:v>
      </x:c>
      <x:c r="C184" s="52" t="str">
        <x:v>TNIP1</x:v>
      </x:c>
      <x:c r="D184" s="56" t="n">
        <x:v>2</x:v>
      </x:c>
      <x:c r="E184" s="52" t="str">
        <x:v>TNIP1</x:v>
      </x:c>
      <x:c r="F184" s="52" t="str">
        <x:v>TNIP1</x:v>
      </x:c>
      <x:c r="G184" s="52" t="str">
        <x:v>NO</x:v>
      </x:c>
      <x:c r="H184" s="60" t="n">
        <x:v>6.17616516</x:v>
      </x:c>
      <x:c r="I184" s="60" t="n">
        <x:v>7.58947133</x:v>
      </x:c>
      <x:c r="J184" s="56" t="n">
        <x:v>0</x:v>
      </x:c>
      <x:c r="K184" s="56" t="n">
        <x:v>0</x:v>
      </x:c>
      <x:c r="L184" s="53" t="str">
        <x:v>COMPLETE</x:v>
      </x:c>
    </x:row>
    <x:row r="185">
      <x:c r="A185" s="42" t="str">
        <x:v>GSE95233</x:v>
      </x:c>
      <x:c r="B185" s="43" t="str">
        <x:v>SIG022</x:v>
      </x:c>
      <x:c r="C185" s="43" t="str">
        <x:v>GPAA1</x:v>
      </x:c>
      <x:c r="D185" s="55" t="n">
        <x:v>3</x:v>
      </x:c>
      <x:c r="E185" s="43" t="str">
        <x:v>GPAA1</x:v>
      </x:c>
      <x:c r="F185" s="43" t="str">
        <x:v>GPAA1</x:v>
      </x:c>
      <x:c r="G185" s="43" t="str">
        <x:v>NO</x:v>
      </x:c>
      <x:c r="H185" s="59" t="n">
        <x:v>5.85573073</x:v>
      </x:c>
      <x:c r="I185" s="59" t="n">
        <x:v>7.345805443333333</x:v>
      </x:c>
      <x:c r="J185" s="55" t="n">
        <x:v>0</x:v>
      </x:c>
      <x:c r="K185" s="55" t="n">
        <x:v>0</x:v>
      </x:c>
      <x:c r="L185" s="44" t="str">
        <x:v>COMPLETE</x:v>
      </x:c>
    </x:row>
    <x:row r="186">
      <x:c r="A186" s="51" t="str">
        <x:v>GSE95233</x:v>
      </x:c>
      <x:c r="B186" s="52" t="str">
        <x:v>SIG022</x:v>
      </x:c>
      <x:c r="C186" s="52" t="str">
        <x:v>CTSB</x:v>
      </x:c>
      <x:c r="D186" s="56" t="n">
        <x:v>5</x:v>
      </x:c>
      <x:c r="E186" s="52" t="str">
        <x:v>CTSB</x:v>
      </x:c>
      <x:c r="F186" s="52" t="str">
        <x:v>CTSB</x:v>
      </x:c>
      <x:c r="G186" s="52" t="str">
        <x:v>NO</x:v>
      </x:c>
      <x:c r="H186" s="60" t="n">
        <x:v>7.769381097999999</x:v>
      </x:c>
      <x:c r="I186" s="60" t="n">
        <x:v>9.504709932</x:v>
      </x:c>
      <x:c r="J186" s="56" t="n">
        <x:v>0</x:v>
      </x:c>
      <x:c r="K186" s="56" t="n">
        <x:v>0</x:v>
      </x:c>
      <x:c r="L186" s="53" t="str">
        <x:v>COMPLETE</x:v>
      </x:c>
    </x:row>
    <x:row r="187">
      <x:c r="A187" s="42" t="str">
        <x:v>GSE95233</x:v>
      </x:c>
      <x:c r="B187" s="43" t="str">
        <x:v>SIG023</x:v>
      </x:c>
      <x:c r="C187" s="43" t="str">
        <x:v>FAM89A</x:v>
      </x:c>
      <x:c r="D187" s="55" t="n">
        <x:v>1</x:v>
      </x:c>
      <x:c r="E187" s="43" t="str">
        <x:v>MIR1182///FAM89A</x:v>
      </x:c>
      <x:c r="F187" s="43" t="str">
        <x:v>FAM89A</x:v>
      </x:c>
      <x:c r="G187" s="43" t="str">
        <x:v>YES</x:v>
      </x:c>
      <x:c r="H187" s="59" t="n">
        <x:v>5.06624159</x:v>
      </x:c>
      <x:c r="I187" s="59" t="n">
        <x:v>9.98124519</x:v>
      </x:c>
      <x:c r="J187" s="55" t="n">
        <x:v>0</x:v>
      </x:c>
      <x:c r="K187" s="55" t="n">
        <x:v>0</x:v>
      </x:c>
      <x:c r="L187" s="44" t="str">
        <x:v>COMPLETE</x:v>
      </x:c>
    </x:row>
    <x:row r="188">
      <x:c r="A188" s="51" t="str">
        <x:v>GSE95233</x:v>
      </x:c>
      <x:c r="B188" s="52" t="str">
        <x:v>SIG023</x:v>
      </x:c>
      <x:c r="C188" s="52" t="str">
        <x:v>IFI44L</x:v>
      </x:c>
      <x:c r="D188" s="56" t="n">
        <x:v>1</x:v>
      </x:c>
      <x:c r="E188" s="52" t="str">
        <x:v>IFI44L</x:v>
      </x:c>
      <x:c r="F188" s="52" t="str">
        <x:v>IFI44L</x:v>
      </x:c>
      <x:c r="G188" s="52" t="str">
        <x:v>NO</x:v>
      </x:c>
      <x:c r="H188" s="60" t="n">
        <x:v>1.82968689</x:v>
      </x:c>
      <x:c r="I188" s="60" t="n">
        <x:v>9.25905383</x:v>
      </x:c>
      <x:c r="J188" s="56" t="n">
        <x:v>0</x:v>
      </x:c>
      <x:c r="K188" s="56" t="n">
        <x:v>0</x:v>
      </x:c>
      <x:c r="L188" s="53" t="str">
        <x:v>COMPLETE</x:v>
      </x:c>
    </x:row>
    <x:row r="189">
      <x:c r="A189" s="42" t="str">
        <x:v>GSE95233</x:v>
      </x:c>
      <x:c r="B189" s="43" t="str">
        <x:v>SIG033</x:v>
      </x:c>
      <x:c r="C189" s="43" t="str">
        <x:v>ADRB2</x:v>
      </x:c>
      <x:c r="D189" s="55" t="n">
        <x:v>1</x:v>
      </x:c>
      <x:c r="E189" s="43" t="str">
        <x:v>ADRB2</x:v>
      </x:c>
      <x:c r="F189" s="43" t="str">
        <x:v>ADRB2</x:v>
      </x:c>
      <x:c r="G189" s="43" t="str">
        <x:v>NO</x:v>
      </x:c>
      <x:c r="H189" s="59" t="n">
        <x:v>6.25898443</x:v>
      </x:c>
      <x:c r="I189" s="59" t="n">
        <x:v>8.67172534</x:v>
      </x:c>
      <x:c r="J189" s="55" t="n">
        <x:v>0</x:v>
      </x:c>
      <x:c r="K189" s="55" t="n">
        <x:v>0</x:v>
      </x:c>
      <x:c r="L189" s="44" t="str">
        <x:v>COMPLETE</x:v>
      </x:c>
    </x:row>
    <x:row r="190">
      <x:c r="A190" s="51" t="str">
        <x:v>GSE95233</x:v>
      </x:c>
      <x:c r="B190" s="52" t="str">
        <x:v>SIG033</x:v>
      </x:c>
      <x:c r="C190" s="52" t="str">
        <x:v>CTSG</x:v>
      </x:c>
      <x:c r="D190" s="56" t="n">
        <x:v>1</x:v>
      </x:c>
      <x:c r="E190" s="52" t="str">
        <x:v>CTSG</x:v>
      </x:c>
      <x:c r="F190" s="52" t="str">
        <x:v>CTSG</x:v>
      </x:c>
      <x:c r="G190" s="52" t="str">
        <x:v>NO</x:v>
      </x:c>
      <x:c r="H190" s="60" t="n">
        <x:v>3.60258962</x:v>
      </x:c>
      <x:c r="I190" s="60" t="n">
        <x:v>11.51747911</x:v>
      </x:c>
      <x:c r="J190" s="56" t="n">
        <x:v>0</x:v>
      </x:c>
      <x:c r="K190" s="56" t="n">
        <x:v>0</x:v>
      </x:c>
      <x:c r="L190" s="53" t="str">
        <x:v>COMPLETE</x:v>
      </x:c>
    </x:row>
    <x:row r="191">
      <x:c r="A191" s="42" t="str">
        <x:v>GSE95233</x:v>
      </x:c>
      <x:c r="B191" s="43" t="str">
        <x:v>SIG033</x:v>
      </x:c>
      <x:c r="C191" s="43" t="str">
        <x:v>CX3CR1</x:v>
      </x:c>
      <x:c r="D191" s="55" t="n">
        <x:v>2</x:v>
      </x:c>
      <x:c r="E191" s="43" t="str">
        <x:v>CX3CR1</x:v>
      </x:c>
      <x:c r="F191" s="43" t="str">
        <x:v>CX3CR1</x:v>
      </x:c>
      <x:c r="G191" s="43" t="str">
        <x:v>NO</x:v>
      </x:c>
      <x:c r="H191" s="59" t="n">
        <x:v>4.852199845</x:v>
      </x:c>
      <x:c r="I191" s="59" t="n">
        <x:v>10.209074145</x:v>
      </x:c>
      <x:c r="J191" s="55" t="n">
        <x:v>0</x:v>
      </x:c>
      <x:c r="K191" s="55" t="n">
        <x:v>0</x:v>
      </x:c>
      <x:c r="L191" s="44" t="str">
        <x:v>COMPLETE</x:v>
      </x:c>
    </x:row>
    <x:row r="192">
      <x:c r="A192" s="51" t="str">
        <x:v>GSE95233</x:v>
      </x:c>
      <x:c r="B192" s="52" t="str">
        <x:v>SIG033</x:v>
      </x:c>
      <x:c r="C192" s="52" t="str">
        <x:v>CXCR6</x:v>
      </x:c>
      <x:c r="D192" s="56" t="n">
        <x:v>2</x:v>
      </x:c>
      <x:c r="E192" s="52" t="str">
        <x:v>CXCR6</x:v>
      </x:c>
      <x:c r="F192" s="52" t="str">
        <x:v>CXCR6</x:v>
      </x:c>
      <x:c r="G192" s="52" t="str">
        <x:v>NO</x:v>
      </x:c>
      <x:c r="H192" s="60" t="n">
        <x:v>4.806812805</x:v>
      </x:c>
      <x:c r="I192" s="60" t="n">
        <x:v>6.721428865</x:v>
      </x:c>
      <x:c r="J192" s="56" t="n">
        <x:v>0</x:v>
      </x:c>
      <x:c r="K192" s="56" t="n">
        <x:v>0</x:v>
      </x:c>
      <x:c r="L192" s="53" t="str">
        <x:v>COMPLETE</x:v>
      </x:c>
    </x:row>
    <x:row r="193">
      <x:c r="A193" s="42" t="str">
        <x:v>GSE95233</x:v>
      </x:c>
      <x:c r="B193" s="43" t="str">
        <x:v>SIG033</x:v>
      </x:c>
      <x:c r="C193" s="43" t="str">
        <x:v>IL4R</x:v>
      </x:c>
      <x:c r="D193" s="55" t="n">
        <x:v>1</x:v>
      </x:c>
      <x:c r="E193" s="43" t="str">
        <x:v>IL4R</x:v>
      </x:c>
      <x:c r="F193" s="43" t="str">
        <x:v>IL4R</x:v>
      </x:c>
      <x:c r="G193" s="43" t="str">
        <x:v>NO</x:v>
      </x:c>
      <x:c r="H193" s="59" t="n">
        <x:v>8.00403873</x:v>
      </x:c>
      <x:c r="I193" s="59" t="n">
        <x:v>10.7828725</x:v>
      </x:c>
      <x:c r="J193" s="55" t="n">
        <x:v>0</x:v>
      </x:c>
      <x:c r="K193" s="55" t="n">
        <x:v>0</x:v>
      </x:c>
      <x:c r="L193" s="44" t="str">
        <x:v>COMPLETE</x:v>
      </x:c>
    </x:row>
    <x:row r="194">
      <x:c r="A194" s="51" t="str">
        <x:v>GSE95233</x:v>
      </x:c>
      <x:c r="B194" s="52" t="str">
        <x:v>SIG033</x:v>
      </x:c>
      <x:c r="C194" s="52" t="str">
        <x:v>LTB</x:v>
      </x:c>
      <x:c r="D194" s="56" t="n">
        <x:v>2</x:v>
      </x:c>
      <x:c r="E194" s="52" t="str">
        <x:v>LTB</x:v>
      </x:c>
      <x:c r="F194" s="52" t="str">
        <x:v>LTB</x:v>
      </x:c>
      <x:c r="G194" s="52" t="str">
        <x:v>NO</x:v>
      </x:c>
      <x:c r="H194" s="60" t="n">
        <x:v>7.202595349999999</x:v>
      </x:c>
      <x:c r="I194" s="60" t="n">
        <x:v>8.672617415000001</x:v>
      </x:c>
      <x:c r="J194" s="56" t="n">
        <x:v>0</x:v>
      </x:c>
      <x:c r="K194" s="56" t="n">
        <x:v>0</x:v>
      </x:c>
      <x:c r="L194" s="53" t="str">
        <x:v>COMPLETE</x:v>
      </x:c>
    </x:row>
    <x:row r="195">
      <x:c r="A195" s="42" t="str">
        <x:v>GSE95233</x:v>
      </x:c>
      <x:c r="B195" s="43" t="str">
        <x:v>SIG033</x:v>
      </x:c>
      <x:c r="C195" s="43" t="str">
        <x:v>TMSB10</x:v>
      </x:c>
      <x:c r="D195" s="55" t="n">
        <x:v>1</x:v>
      </x:c>
      <x:c r="E195" s="43" t="str">
        <x:v>TMSB10</x:v>
      </x:c>
      <x:c r="F195" s="43" t="str">
        <x:v>TMSB10</x:v>
      </x:c>
      <x:c r="G195" s="43" t="str">
        <x:v>NO</x:v>
      </x:c>
      <x:c r="H195" s="59" t="n">
        <x:v>12.47010257</x:v>
      </x:c>
      <x:c r="I195" s="59" t="n">
        <x:v>13.36272739</x:v>
      </x:c>
      <x:c r="J195" s="55" t="n">
        <x:v>0</x:v>
      </x:c>
      <x:c r="K195" s="55" t="n">
        <x:v>0</x:v>
      </x:c>
      <x:c r="L195" s="44" t="str">
        <x:v>COMPLETE</x:v>
      </x:c>
    </x:row>
    <x:row r="196">
      <x:c r="A196" s="51" t="str">
        <x:v>GSE95233</x:v>
      </x:c>
      <x:c r="B196" s="52" t="str">
        <x:v>SIG034</x:v>
      </x:c>
      <x:c r="C196" s="52" t="str">
        <x:v>NQO2</x:v>
      </x:c>
      <x:c r="D196" s="56" t="n">
        <x:v>2</x:v>
      </x:c>
      <x:c r="E196" s="52" t="str">
        <x:v>NQO2</x:v>
      </x:c>
      <x:c r="F196" s="52" t="str">
        <x:v>NQO2</x:v>
      </x:c>
      <x:c r="G196" s="52" t="str">
        <x:v>NO</x:v>
      </x:c>
      <x:c r="H196" s="60" t="n">
        <x:v>6.213821545</x:v>
      </x:c>
      <x:c r="I196" s="60" t="n">
        <x:v>9.73352456</x:v>
      </x:c>
      <x:c r="J196" s="56" t="n">
        <x:v>0</x:v>
      </x:c>
      <x:c r="K196" s="56" t="n">
        <x:v>0</x:v>
      </x:c>
      <x:c r="L196" s="53" t="str">
        <x:v>COMPLETE</x:v>
      </x:c>
    </x:row>
    <x:row r="197">
      <x:c r="A197" s="42" t="str">
        <x:v>GSE95233</x:v>
      </x:c>
      <x:c r="B197" s="43" t="str">
        <x:v>SIG034</x:v>
      </x:c>
      <x:c r="C197" s="43" t="str">
        <x:v>SLPI</x:v>
      </x:c>
      <x:c r="D197" s="55" t="n">
        <x:v>1</x:v>
      </x:c>
      <x:c r="E197" s="43" t="str">
        <x:v>SLPI</x:v>
      </x:c>
      <x:c r="F197" s="43" t="str">
        <x:v>SLPI</x:v>
      </x:c>
      <x:c r="G197" s="43" t="str">
        <x:v>NO</x:v>
      </x:c>
      <x:c r="H197" s="59" t="n">
        <x:v>4.97147949</x:v>
      </x:c>
      <x:c r="I197" s="59" t="n">
        <x:v>11.54549101</x:v>
      </x:c>
      <x:c r="J197" s="55" t="n">
        <x:v>0</x:v>
      </x:c>
      <x:c r="K197" s="55" t="n">
        <x:v>0</x:v>
      </x:c>
      <x:c r="L197" s="44" t="str">
        <x:v>COMPLETE</x:v>
      </x:c>
    </x:row>
    <x:row r="198">
      <x:c r="A198" s="51" t="str">
        <x:v>GSE95233</x:v>
      </x:c>
      <x:c r="B198" s="52" t="str">
        <x:v>SIG034</x:v>
      </x:c>
      <x:c r="C198" s="52" t="str">
        <x:v>ORM1</x:v>
      </x:c>
      <x:c r="D198" s="56" t="n">
        <x:v>3</x:v>
      </x:c>
      <x:c r="E198" s="52" t="str">
        <x:v>ORM1; ORM2///ORM1</x:v>
      </x:c>
      <x:c r="F198" s="52" t="str">
        <x:v>ORM1</x:v>
      </x:c>
      <x:c r="G198" s="52" t="str">
        <x:v>YES</x:v>
      </x:c>
      <x:c r="H198" s="60" t="n">
        <x:v>3.68467994</x:v>
      </x:c>
      <x:c r="I198" s="60" t="n">
        <x:v>9.282538876666663</x:v>
      </x:c>
      <x:c r="J198" s="56" t="n">
        <x:v>0</x:v>
      </x:c>
      <x:c r="K198" s="56" t="n">
        <x:v>0</x:v>
      </x:c>
      <x:c r="L198" s="53" t="str">
        <x:v>COMPLETE</x:v>
      </x:c>
    </x:row>
    <x:row r="199">
      <x:c r="A199" s="42" t="str">
        <x:v>GSE95233</x:v>
      </x:c>
      <x:c r="B199" s="43" t="str">
        <x:v>SIG034</x:v>
      </x:c>
      <x:c r="C199" s="43" t="str">
        <x:v>KLHL2</x:v>
      </x:c>
      <x:c r="D199" s="55" t="n">
        <x:v>1</x:v>
      </x:c>
      <x:c r="E199" s="43" t="str">
        <x:v>KLHL2</x:v>
      </x:c>
      <x:c r="F199" s="43" t="str">
        <x:v>KLHL2</x:v>
      </x:c>
      <x:c r="G199" s="43" t="str">
        <x:v>NO</x:v>
      </x:c>
      <x:c r="H199" s="59" t="n">
        <x:v>5.73492317</x:v>
      </x:c>
      <x:c r="I199" s="59" t="n">
        <x:v>10.52739396</x:v>
      </x:c>
      <x:c r="J199" s="55" t="n">
        <x:v>0</x:v>
      </x:c>
      <x:c r="K199" s="55" t="n">
        <x:v>0</x:v>
      </x:c>
      <x:c r="L199" s="44" t="str">
        <x:v>COMPLETE</x:v>
      </x:c>
    </x:row>
    <x:row r="200">
      <x:c r="A200" s="51" t="str">
        <x:v>GSE95233</x:v>
      </x:c>
      <x:c r="B200" s="52" t="str">
        <x:v>SIG034</x:v>
      </x:c>
      <x:c r="C200" s="52" t="str">
        <x:v>ANXA3</x:v>
      </x:c>
      <x:c r="D200" s="56" t="n">
        <x:v>1</x:v>
      </x:c>
      <x:c r="E200" s="52" t="str">
        <x:v>ANXA3</x:v>
      </x:c>
      <x:c r="F200" s="52" t="str">
        <x:v>ANXA3</x:v>
      </x:c>
      <x:c r="G200" s="52" t="str">
        <x:v>NO</x:v>
      </x:c>
      <x:c r="H200" s="60" t="n">
        <x:v>3.71521816</x:v>
      </x:c>
      <x:c r="I200" s="60" t="n">
        <x:v>11.19198275</x:v>
      </x:c>
      <x:c r="J200" s="56" t="n">
        <x:v>0</x:v>
      </x:c>
      <x:c r="K200" s="56" t="n">
        <x:v>0</x:v>
      </x:c>
      <x:c r="L200" s="53" t="str">
        <x:v>COMPLETE</x:v>
      </x:c>
    </x:row>
    <x:row r="201">
      <x:c r="A201" s="42" t="str">
        <x:v>GSE95233</x:v>
      </x:c>
      <x:c r="B201" s="43" t="str">
        <x:v>SIG034</x:v>
      </x:c>
      <x:c r="C201" s="43" t="str">
        <x:v>TXN</x:v>
      </x:c>
      <x:c r="D201" s="55" t="n">
        <x:v>2</x:v>
      </x:c>
      <x:c r="E201" s="43" t="str">
        <x:v>TXN</x:v>
      </x:c>
      <x:c r="F201" s="43" t="str">
        <x:v>TXN</x:v>
      </x:c>
      <x:c r="G201" s="43" t="str">
        <x:v>NO</x:v>
      </x:c>
      <x:c r="H201" s="59" t="n">
        <x:v>7.220945745</x:v>
      </x:c>
      <x:c r="I201" s="59" t="n">
        <x:v>11.287082335</x:v>
      </x:c>
      <x:c r="J201" s="55" t="n">
        <x:v>0</x:v>
      </x:c>
      <x:c r="K201" s="55" t="n">
        <x:v>0</x:v>
      </x:c>
      <x:c r="L201" s="44" t="str">
        <x:v>COMPLETE</x:v>
      </x:c>
    </x:row>
    <x:row r="202">
      <x:c r="A202" s="51" t="str">
        <x:v>GSE95233</x:v>
      </x:c>
      <x:c r="B202" s="52" t="str">
        <x:v>SIG034</x:v>
      </x:c>
      <x:c r="C202" s="52" t="str">
        <x:v>AQP9</x:v>
      </x:c>
      <x:c r="D202" s="56" t="n">
        <x:v>1</x:v>
      </x:c>
      <x:c r="E202" s="52" t="str">
        <x:v>AQP9</x:v>
      </x:c>
      <x:c r="F202" s="52" t="str">
        <x:v>AQP9</x:v>
      </x:c>
      <x:c r="G202" s="52" t="str">
        <x:v>NO</x:v>
      </x:c>
      <x:c r="H202" s="60" t="n">
        <x:v>9.06184484</x:v>
      </x:c>
      <x:c r="I202" s="60" t="n">
        <x:v>11.98160828</x:v>
      </x:c>
      <x:c r="J202" s="56" t="n">
        <x:v>0</x:v>
      </x:c>
      <x:c r="K202" s="56" t="n">
        <x:v>0</x:v>
      </x:c>
      <x:c r="L202" s="53" t="str">
        <x:v>COMPLETE</x:v>
      </x:c>
    </x:row>
    <x:row r="203">
      <x:c r="A203" s="42" t="str">
        <x:v>GSE95233</x:v>
      </x:c>
      <x:c r="B203" s="43" t="str">
        <x:v>SIG034</x:v>
      </x:c>
      <x:c r="C203" s="43" t="str">
        <x:v>BCL6</x:v>
      </x:c>
      <x:c r="D203" s="55" t="n">
        <x:v>3</x:v>
      </x:c>
      <x:c r="E203" s="43" t="str">
        <x:v>BCL6</x:v>
      </x:c>
      <x:c r="F203" s="43" t="str">
        <x:v>BCL6</x:v>
      </x:c>
      <x:c r="G203" s="43" t="str">
        <x:v>NO</x:v>
      </x:c>
      <x:c r="H203" s="59" t="n">
        <x:v>8.309229723333333</x:v>
      </x:c>
      <x:c r="I203" s="59" t="n">
        <x:v>12.049767156666666</x:v>
      </x:c>
      <x:c r="J203" s="55" t="n">
        <x:v>0</x:v>
      </x:c>
      <x:c r="K203" s="55" t="n">
        <x:v>0</x:v>
      </x:c>
      <x:c r="L203" s="44" t="str">
        <x:v>COMPLETE</x:v>
      </x:c>
    </x:row>
    <x:row r="204">
      <x:c r="A204" s="51" t="str">
        <x:v>GSE95233</x:v>
      </x:c>
      <x:c r="B204" s="52" t="str">
        <x:v>SIG034</x:v>
      </x:c>
      <x:c r="C204" s="52" t="str">
        <x:v>DOK3</x:v>
      </x:c>
      <x:c r="D204" s="56" t="n">
        <x:v>2</x:v>
      </x:c>
      <x:c r="E204" s="52" t="str">
        <x:v>DOK3</x:v>
      </x:c>
      <x:c r="F204" s="52" t="str">
        <x:v>DOK3</x:v>
      </x:c>
      <x:c r="G204" s="52" t="str">
        <x:v>NO</x:v>
      </x:c>
      <x:c r="H204" s="60" t="n">
        <x:v>7.32337217</x:v>
      </x:c>
      <x:c r="I204" s="60" t="n">
        <x:v>9.51525002</x:v>
      </x:c>
      <x:c r="J204" s="56" t="n">
        <x:v>0</x:v>
      </x:c>
      <x:c r="K204" s="56" t="n">
        <x:v>0</x:v>
      </x:c>
      <x:c r="L204" s="53" t="str">
        <x:v>COMPLETE</x:v>
      </x:c>
    </x:row>
    <x:row r="205">
      <x:c r="A205" s="42" t="str">
        <x:v>GSE95233</x:v>
      </x:c>
      <x:c r="B205" s="43" t="str">
        <x:v>SIG034</x:v>
      </x:c>
      <x:c r="C205" s="43" t="str">
        <x:v>PFKFB4</x:v>
      </x:c>
      <x:c r="D205" s="55" t="n">
        <x:v>2</x:v>
      </x:c>
      <x:c r="E205" s="43" t="str">
        <x:v>PFKFB4</x:v>
      </x:c>
      <x:c r="F205" s="43" t="str">
        <x:v>PFKFB4</x:v>
      </x:c>
      <x:c r="G205" s="43" t="str">
        <x:v>NO</x:v>
      </x:c>
      <x:c r="H205" s="59" t="n">
        <x:v>5.061026835</x:v>
      </x:c>
      <x:c r="I205" s="59" t="n">
        <x:v>6.738022395</x:v>
      </x:c>
      <x:c r="J205" s="55" t="n">
        <x:v>0</x:v>
      </x:c>
      <x:c r="K205" s="55" t="n">
        <x:v>0</x:v>
      </x:c>
      <x:c r="L205" s="44" t="str">
        <x:v>COMPLETE</x:v>
      </x:c>
    </x:row>
    <x:row r="206">
      <x:c r="A206" s="51" t="str">
        <x:v>GSE95233</x:v>
      </x:c>
      <x:c r="B206" s="52" t="str">
        <x:v>SIG034</x:v>
      </x:c>
      <x:c r="C206" s="52" t="str">
        <x:v>TYK2</x:v>
      </x:c>
      <x:c r="D206" s="56" t="n">
        <x:v>1</x:v>
      </x:c>
      <x:c r="E206" s="52" t="str">
        <x:v>TYK2</x:v>
      </x:c>
      <x:c r="F206" s="52" t="str">
        <x:v>TYK2</x:v>
      </x:c>
      <x:c r="G206" s="52" t="str">
        <x:v>NO</x:v>
      </x:c>
      <x:c r="H206" s="60" t="n">
        <x:v>6.8356712</x:v>
      </x:c>
      <x:c r="I206" s="60" t="n">
        <x:v>8.39361902</x:v>
      </x:c>
      <x:c r="J206" s="56" t="n">
        <x:v>0</x:v>
      </x:c>
      <x:c r="K206" s="56" t="n">
        <x:v>0</x:v>
      </x:c>
      <x:c r="L206" s="53" t="str">
        <x:v>COMPLETE</x:v>
      </x:c>
    </x:row>
    <x:row r="207">
      <x:c r="A207" s="42" t="str">
        <x:v>GSE95233</x:v>
      </x:c>
      <x:c r="B207" s="43" t="str">
        <x:v>SIG034</x:v>
      </x:c>
      <x:c r="C207" s="43" t="str">
        <x:v>BCL2L11</x:v>
      </x:c>
      <x:c r="D207" s="55" t="n">
        <x:v>7</x:v>
      </x:c>
      <x:c r="E207" s="43" t="str">
        <x:v>BCL2L11</x:v>
      </x:c>
      <x:c r="F207" s="43" t="str">
        <x:v>BCL2L11</x:v>
      </x:c>
      <x:c r="G207" s="43" t="str">
        <x:v>NO</x:v>
      </x:c>
      <x:c r="H207" s="59" t="n">
        <x:v>5.668998084285714</x:v>
      </x:c>
      <x:c r="I207" s="59" t="n">
        <x:v>7.3749494971428575</x:v>
      </x:c>
      <x:c r="J207" s="55" t="n">
        <x:v>0</x:v>
      </x:c>
      <x:c r="K207" s="55" t="n">
        <x:v>0</x:v>
      </x:c>
      <x:c r="L207" s="44" t="str">
        <x:v>COMPLETE</x:v>
      </x:c>
    </x:row>
    <x:row r="208">
      <x:c r="A208" s="51" t="str">
        <x:v>GSE95233</x:v>
      </x:c>
      <x:c r="B208" s="52" t="str">
        <x:v>SIG034</x:v>
      </x:c>
      <x:c r="C208" s="52" t="str">
        <x:v>BCAT1</x:v>
      </x:c>
      <x:c r="D208" s="56" t="n">
        <x:v>4</x:v>
      </x:c>
      <x:c r="E208" s="52" t="str">
        <x:v>BCAT1</x:v>
      </x:c>
      <x:c r="F208" s="52" t="str">
        <x:v>BCAT1</x:v>
      </x:c>
      <x:c r="G208" s="52" t="str">
        <x:v>NO</x:v>
      </x:c>
      <x:c r="H208" s="60" t="n">
        <x:v>2.9264826125</x:v>
      </x:c>
      <x:c r="I208" s="60" t="n">
        <x:v>7.964122445000001</x:v>
      </x:c>
      <x:c r="J208" s="56" t="n">
        <x:v>0</x:v>
      </x:c>
      <x:c r="K208" s="56" t="n">
        <x:v>0</x:v>
      </x:c>
      <x:c r="L208" s="53" t="str">
        <x:v>COMPLETE</x:v>
      </x:c>
    </x:row>
    <x:row r="209">
      <x:c r="A209" s="42" t="str">
        <x:v>GSE95233</x:v>
      </x:c>
      <x:c r="B209" s="43" t="str">
        <x:v>SIG034</x:v>
      </x:c>
      <x:c r="C209" s="43" t="str">
        <x:v>BTBD7</x:v>
      </x:c>
      <x:c r="D209" s="55" t="n">
        <x:v>5</x:v>
      </x:c>
      <x:c r="E209" s="43" t="str">
        <x:v>BTBD7</x:v>
      </x:c>
      <x:c r="F209" s="43" t="str">
        <x:v>BTBD7</x:v>
      </x:c>
      <x:c r="G209" s="43" t="str">
        <x:v>NO</x:v>
      </x:c>
      <x:c r="H209" s="59" t="n">
        <x:v>5.132868254</x:v>
      </x:c>
      <x:c r="I209" s="59" t="n">
        <x:v>6.248491634</x:v>
      </x:c>
      <x:c r="J209" s="55" t="n">
        <x:v>0</x:v>
      </x:c>
      <x:c r="K209" s="55" t="n">
        <x:v>0</x:v>
      </x:c>
      <x:c r="L209" s="44" t="str">
        <x:v>COMPLETE</x:v>
      </x:c>
    </x:row>
    <x:row r="210">
      <x:c r="A210" s="51" t="str">
        <x:v>GSE95233</x:v>
      </x:c>
      <x:c r="B210" s="52" t="str">
        <x:v>SIG034</x:v>
      </x:c>
      <x:c r="C210" s="52" t="str">
        <x:v>CEP55</x:v>
      </x:c>
      <x:c r="D210" s="56" t="n">
        <x:v>1</x:v>
      </x:c>
      <x:c r="E210" s="52" t="str">
        <x:v>CEP55</x:v>
      </x:c>
      <x:c r="F210" s="52" t="str">
        <x:v>CEP55</x:v>
      </x:c>
      <x:c r="G210" s="52" t="str">
        <x:v>NO</x:v>
      </x:c>
      <x:c r="H210" s="60" t="n">
        <x:v>1.75016157</x:v>
      </x:c>
      <x:c r="I210" s="60" t="n">
        <x:v>8.89021864</x:v>
      </x:c>
      <x:c r="J210" s="56" t="n">
        <x:v>0</x:v>
      </x:c>
      <x:c r="K210" s="56" t="n">
        <x:v>0</x:v>
      </x:c>
      <x:c r="L210" s="53" t="str">
        <x:v>COMPLETE</x:v>
      </x:c>
    </x:row>
    <x:row r="211">
      <x:c r="A211" s="42" t="str">
        <x:v>GSE95233</x:v>
      </x:c>
      <x:c r="B211" s="43" t="str">
        <x:v>SIG034</x:v>
      </x:c>
      <x:c r="C211" s="43" t="str">
        <x:v>HMMR</x:v>
      </x:c>
      <x:c r="D211" s="55" t="n">
        <x:v>2</x:v>
      </x:c>
      <x:c r="E211" s="43" t="str">
        <x:v>HMMR</x:v>
      </x:c>
      <x:c r="F211" s="43" t="str">
        <x:v>HMMR</x:v>
      </x:c>
      <x:c r="G211" s="43" t="str">
        <x:v>NO</x:v>
      </x:c>
      <x:c r="H211" s="59" t="n">
        <x:v>1.79829152</x:v>
      </x:c>
      <x:c r="I211" s="59" t="n">
        <x:v>6.972623475</x:v>
      </x:c>
      <x:c r="J211" s="55" t="n">
        <x:v>0</x:v>
      </x:c>
      <x:c r="K211" s="55" t="n">
        <x:v>0</x:v>
      </x:c>
      <x:c r="L211" s="44" t="str">
        <x:v>COMPLETE</x:v>
      </x:c>
    </x:row>
    <x:row r="212">
      <x:c r="A212" s="51" t="str">
        <x:v>GSE95233</x:v>
      </x:c>
      <x:c r="B212" s="52" t="str">
        <x:v>SIG034</x:v>
      </x:c>
      <x:c r="C212" s="52" t="str">
        <x:v>PRC1</x:v>
      </x:c>
      <x:c r="D212" s="56" t="n">
        <x:v>1</x:v>
      </x:c>
      <x:c r="E212" s="52" t="str">
        <x:v>PRC1</x:v>
      </x:c>
      <x:c r="F212" s="52" t="str">
        <x:v>PRC1</x:v>
      </x:c>
      <x:c r="G212" s="52" t="str">
        <x:v>NO</x:v>
      </x:c>
      <x:c r="H212" s="60" t="n">
        <x:v>3.66022078</x:v>
      </x:c>
      <x:c r="I212" s="60" t="n">
        <x:v>7.80556589</x:v>
      </x:c>
      <x:c r="J212" s="56" t="n">
        <x:v>0</x:v>
      </x:c>
      <x:c r="K212" s="56" t="n">
        <x:v>0</x:v>
      </x:c>
      <x:c r="L212" s="53" t="str">
        <x:v>COMPLETE</x:v>
      </x:c>
    </x:row>
    <x:row r="213">
      <x:c r="A213" s="42" t="str">
        <x:v>GSE95233</x:v>
      </x:c>
      <x:c r="B213" s="43" t="str">
        <x:v>SIG034</x:v>
      </x:c>
      <x:c r="C213" s="43" t="str">
        <x:v>KIF15</x:v>
      </x:c>
      <x:c r="D213" s="55" t="n">
        <x:v>1</x:v>
      </x:c>
      <x:c r="E213" s="43" t="str">
        <x:v>KIF15</x:v>
      </x:c>
      <x:c r="F213" s="43" t="str">
        <x:v>KIF15</x:v>
      </x:c>
      <x:c r="G213" s="43" t="str">
        <x:v>NO</x:v>
      </x:c>
      <x:c r="H213" s="59" t="n">
        <x:v>1.28776327</x:v>
      </x:c>
      <x:c r="I213" s="59" t="n">
        <x:v>5.72464155</x:v>
      </x:c>
      <x:c r="J213" s="55" t="n">
        <x:v>0</x:v>
      </x:c>
      <x:c r="K213" s="55" t="n">
        <x:v>0</x:v>
      </x:c>
      <x:c r="L213" s="44" t="str">
        <x:v>COMPLETE</x:v>
      </x:c>
    </x:row>
    <x:row r="214">
      <x:c r="A214" s="51" t="str">
        <x:v>GSE95233</x:v>
      </x:c>
      <x:c r="B214" s="52" t="str">
        <x:v>SIG034</x:v>
      </x:c>
      <x:c r="C214" s="52" t="str">
        <x:v>CAMP</x:v>
      </x:c>
      <x:c r="D214" s="56" t="n">
        <x:v>1</x:v>
      </x:c>
      <x:c r="E214" s="52" t="str">
        <x:v>CAMP</x:v>
      </x:c>
      <x:c r="F214" s="52" t="str">
        <x:v>CAMP</x:v>
      </x:c>
      <x:c r="G214" s="52" t="str">
        <x:v>NO</x:v>
      </x:c>
      <x:c r="H214" s="60" t="n">
        <x:v>5.14801649</x:v>
      </x:c>
      <x:c r="I214" s="60" t="n">
        <x:v>11.02533015</x:v>
      </x:c>
      <x:c r="J214" s="56" t="n">
        <x:v>0</x:v>
      </x:c>
      <x:c r="K214" s="56" t="n">
        <x:v>0</x:v>
      </x:c>
      <x:c r="L214" s="53" t="str">
        <x:v>COMPLETE</x:v>
      </x:c>
    </x:row>
    <x:row r="215">
      <x:c r="A215" s="42" t="str">
        <x:v>GSE95233</x:v>
      </x:c>
      <x:c r="B215" s="43" t="str">
        <x:v>SIG034</x:v>
      </x:c>
      <x:c r="C215" s="43" t="str">
        <x:v>CEACAM8</x:v>
      </x:c>
      <x:c r="D215" s="55" t="n">
        <x:v>1</x:v>
      </x:c>
      <x:c r="E215" s="43" t="str">
        <x:v>CEACAM8</x:v>
      </x:c>
      <x:c r="F215" s="43" t="str">
        <x:v>CEACAM8</x:v>
      </x:c>
      <x:c r="G215" s="43" t="str">
        <x:v>NO</x:v>
      </x:c>
      <x:c r="H215" s="59" t="n">
        <x:v>3.90751798</x:v>
      </x:c>
      <x:c r="I215" s="59" t="n">
        <x:v>11.35359467</x:v>
      </x:c>
      <x:c r="J215" s="55" t="n">
        <x:v>0</x:v>
      </x:c>
      <x:c r="K215" s="55" t="n">
        <x:v>0</x:v>
      </x:c>
      <x:c r="L215" s="44" t="str">
        <x:v>COMPLETE</x:v>
      </x:c>
    </x:row>
    <x:row r="216">
      <x:c r="A216" s="51" t="str">
        <x:v>GSE95233</x:v>
      </x:c>
      <x:c r="B216" s="52" t="str">
        <x:v>SIG034</x:v>
      </x:c>
      <x:c r="C216" s="52" t="str">
        <x:v>DEFA4</x:v>
      </x:c>
      <x:c r="D216" s="56" t="n">
        <x:v>1</x:v>
      </x:c>
      <x:c r="E216" s="52" t="str">
        <x:v>DEFA4</x:v>
      </x:c>
      <x:c r="F216" s="52" t="str">
        <x:v>DEFA4</x:v>
      </x:c>
      <x:c r="G216" s="52" t="str">
        <x:v>NO</x:v>
      </x:c>
      <x:c r="H216" s="60" t="n">
        <x:v>4.39432827</x:v>
      </x:c>
      <x:c r="I216" s="60" t="n">
        <x:v>12.99333375</x:v>
      </x:c>
      <x:c r="J216" s="56" t="n">
        <x:v>0</x:v>
      </x:c>
      <x:c r="K216" s="56" t="n">
        <x:v>0</x:v>
      </x:c>
      <x:c r="L216" s="53" t="str">
        <x:v>COMPLETE</x:v>
      </x:c>
    </x:row>
    <x:row r="217">
      <x:c r="A217" s="42" t="str">
        <x:v>GSE95233</x:v>
      </x:c>
      <x:c r="B217" s="43" t="str">
        <x:v>SIG034</x:v>
      </x:c>
      <x:c r="C217" s="43" t="str">
        <x:v>LCN2</x:v>
      </x:c>
      <x:c r="D217" s="55" t="n">
        <x:v>1</x:v>
      </x:c>
      <x:c r="E217" s="43" t="str">
        <x:v>LCN2</x:v>
      </x:c>
      <x:c r="F217" s="43" t="str">
        <x:v>LCN2</x:v>
      </x:c>
      <x:c r="G217" s="43" t="str">
        <x:v>NO</x:v>
      </x:c>
      <x:c r="H217" s="59" t="n">
        <x:v>4.92991185</x:v>
      </x:c>
      <x:c r="I217" s="59" t="n">
        <x:v>12.60589987</x:v>
      </x:c>
      <x:c r="J217" s="55" t="n">
        <x:v>0</x:v>
      </x:c>
      <x:c r="K217" s="55" t="n">
        <x:v>0</x:v>
      </x:c>
      <x:c r="L217" s="44" t="str">
        <x:v>COMPLETE</x:v>
      </x:c>
    </x:row>
    <x:row r="218">
      <x:c r="A218" s="51" t="str">
        <x:v>GSE95233</x:v>
      </x:c>
      <x:c r="B218" s="52" t="str">
        <x:v>SIG034</x:v>
      </x:c>
      <x:c r="C218" s="52" t="str">
        <x:v>CTSG</x:v>
      </x:c>
      <x:c r="D218" s="56" t="n">
        <x:v>1</x:v>
      </x:c>
      <x:c r="E218" s="52" t="str">
        <x:v>CTSG</x:v>
      </x:c>
      <x:c r="F218" s="52" t="str">
        <x:v>CTSG</x:v>
      </x:c>
      <x:c r="G218" s="52" t="str">
        <x:v>NO</x:v>
      </x:c>
      <x:c r="H218" s="60" t="n">
        <x:v>3.60258962</x:v>
      </x:c>
      <x:c r="I218" s="60" t="n">
        <x:v>11.51747911</x:v>
      </x:c>
      <x:c r="J218" s="56" t="n">
        <x:v>0</x:v>
      </x:c>
      <x:c r="K218" s="56" t="n">
        <x:v>0</x:v>
      </x:c>
      <x:c r="L218" s="53" t="str">
        <x:v>COMPLETE</x:v>
      </x:c>
    </x:row>
    <x:row r="219">
      <x:c r="A219" s="42" t="str">
        <x:v>GSE95233</x:v>
      </x:c>
      <x:c r="B219" s="43" t="str">
        <x:v>SIG034</x:v>
      </x:c>
      <x:c r="C219" s="43" t="str">
        <x:v>AZU1</x:v>
      </x:c>
      <x:c r="D219" s="55" t="n">
        <x:v>1</x:v>
      </x:c>
      <x:c r="E219" s="43" t="str">
        <x:v>AZU1</x:v>
      </x:c>
      <x:c r="F219" s="43" t="str">
        <x:v>AZU1</x:v>
      </x:c>
      <x:c r="G219" s="43" t="str">
        <x:v>NO</x:v>
      </x:c>
      <x:c r="H219" s="59" t="n">
        <x:v>4.18566674</x:v>
      </x:c>
      <x:c r="I219" s="59" t="n">
        <x:v>7.23499859</x:v>
      </x:c>
      <x:c r="J219" s="55" t="n">
        <x:v>0</x:v>
      </x:c>
      <x:c r="K219" s="55" t="n">
        <x:v>0</x:v>
      </x:c>
      <x:c r="L219" s="44" t="str">
        <x:v>COMPLETE</x:v>
      </x:c>
    </x:row>
    <x:row r="220">
      <x:c r="A220" s="51" t="str">
        <x:v>GSE95233</x:v>
      </x:c>
      <x:c r="B220" s="52" t="str">
        <x:v>SIG034</x:v>
      </x:c>
      <x:c r="C220" s="52" t="str">
        <x:v>MAFB</x:v>
      </x:c>
      <x:c r="D220" s="56" t="n">
        <x:v>2</x:v>
      </x:c>
      <x:c r="E220" s="52" t="str">
        <x:v>MAFB</x:v>
      </x:c>
      <x:c r="F220" s="52" t="str">
        <x:v>MAFB</x:v>
      </x:c>
      <x:c r="G220" s="52" t="str">
        <x:v>NO</x:v>
      </x:c>
      <x:c r="H220" s="60" t="n">
        <x:v>7.09723014</x:v>
      </x:c>
      <x:c r="I220" s="60" t="n">
        <x:v>10.272811529999998</x:v>
      </x:c>
      <x:c r="J220" s="56" t="n">
        <x:v>0</x:v>
      </x:c>
      <x:c r="K220" s="56" t="n">
        <x:v>0</x:v>
      </x:c>
      <x:c r="L220" s="53" t="str">
        <x:v>COMPLETE</x:v>
      </x:c>
    </x:row>
    <x:row r="221">
      <x:c r="A221" s="42" t="str">
        <x:v>GSE95233</x:v>
      </x:c>
      <x:c r="B221" s="43" t="str">
        <x:v>SIG034</x:v>
      </x:c>
      <x:c r="C221" s="43" t="str">
        <x:v>OASL</x:v>
      </x:c>
      <x:c r="D221" s="55" t="n">
        <x:v>2</x:v>
      </x:c>
      <x:c r="E221" s="43" t="str">
        <x:v>OASL</x:v>
      </x:c>
      <x:c r="F221" s="43" t="str">
        <x:v>OASL</x:v>
      </x:c>
      <x:c r="G221" s="43" t="str">
        <x:v>NO</x:v>
      </x:c>
      <x:c r="H221" s="59" t="n">
        <x:v>4.416426775</x:v>
      </x:c>
      <x:c r="I221" s="59" t="n">
        <x:v>8.775304235</x:v>
      </x:c>
      <x:c r="J221" s="55" t="n">
        <x:v>0</x:v>
      </x:c>
      <x:c r="K221" s="55" t="n">
        <x:v>0</x:v>
      </x:c>
      <x:c r="L221" s="44" t="str">
        <x:v>COMPLETE</x:v>
      </x:c>
    </x:row>
    <x:row r="222">
      <x:c r="A222" s="51" t="str">
        <x:v>GSE95233</x:v>
      </x:c>
      <x:c r="B222" s="52" t="str">
        <x:v>SIG034</x:v>
      </x:c>
      <x:c r="C222" s="52" t="str">
        <x:v>UBE2L6</x:v>
      </x:c>
      <x:c r="D222" s="56" t="n">
        <x:v>1</x:v>
      </x:c>
      <x:c r="E222" s="52" t="str">
        <x:v>UBE2L6</x:v>
      </x:c>
      <x:c r="F222" s="52" t="str">
        <x:v>UBE2L6</x:v>
      </x:c>
      <x:c r="G222" s="52" t="str">
        <x:v>NO</x:v>
      </x:c>
      <x:c r="H222" s="60" t="n">
        <x:v>8.30811843</x:v>
      </x:c>
      <x:c r="I222" s="60" t="n">
        <x:v>11.49372375</x:v>
      </x:c>
      <x:c r="J222" s="56" t="n">
        <x:v>0</x:v>
      </x:c>
      <x:c r="K222" s="56" t="n">
        <x:v>0</x:v>
      </x:c>
      <x:c r="L222" s="53" t="str">
        <x:v>COMPLETE</x:v>
      </x:c>
    </x:row>
    <x:row r="223">
      <x:c r="A223" s="42" t="str">
        <x:v>GSE95233</x:v>
      </x:c>
      <x:c r="B223" s="43" t="str">
        <x:v>SIG034</x:v>
      </x:c>
      <x:c r="C223" s="43" t="str">
        <x:v>VAMP5</x:v>
      </x:c>
      <x:c r="D223" s="55" t="n">
        <x:v>2</x:v>
      </x:c>
      <x:c r="E223" s="43" t="str">
        <x:v>VAMP5</x:v>
      </x:c>
      <x:c r="F223" s="43" t="str">
        <x:v>VAMP5</x:v>
      </x:c>
      <x:c r="G223" s="43" t="str">
        <x:v>NO</x:v>
      </x:c>
      <x:c r="H223" s="59" t="n">
        <x:v>6.03550542</x:v>
      </x:c>
      <x:c r="I223" s="59" t="n">
        <x:v>9.100952685</x:v>
      </x:c>
      <x:c r="J223" s="55" t="n">
        <x:v>0</x:v>
      </x:c>
      <x:c r="K223" s="55" t="n">
        <x:v>0</x:v>
      </x:c>
      <x:c r="L223" s="44" t="str">
        <x:v>COMPLETE</x:v>
      </x:c>
    </x:row>
    <x:row r="224">
      <x:c r="A224" s="51" t="str">
        <x:v>GSE95233</x:v>
      </x:c>
      <x:c r="B224" s="52" t="str">
        <x:v>SIG034</x:v>
      </x:c>
      <x:c r="C224" s="52" t="str">
        <x:v>CCL2</x:v>
      </x:c>
      <x:c r="D224" s="56" t="n">
        <x:v>1</x:v>
      </x:c>
      <x:c r="E224" s="52" t="str">
        <x:v>CCL2</x:v>
      </x:c>
      <x:c r="F224" s="52" t="str">
        <x:v>CCL2</x:v>
      </x:c>
      <x:c r="G224" s="52" t="str">
        <x:v>NO</x:v>
      </x:c>
      <x:c r="H224" s="60" t="n">
        <x:v>3.5499251</x:v>
      </x:c>
      <x:c r="I224" s="60" t="n">
        <x:v>6.3232929</x:v>
      </x:c>
      <x:c r="J224" s="56" t="n">
        <x:v>0</x:v>
      </x:c>
      <x:c r="K224" s="56" t="n">
        <x:v>0</x:v>
      </x:c>
      <x:c r="L224" s="53" t="str">
        <x:v>COMPLETE</x:v>
      </x:c>
    </x:row>
    <x:row r="225">
      <x:c r="A225" s="42" t="str">
        <x:v>GSE95233</x:v>
      </x:c>
      <x:c r="B225" s="43" t="str">
        <x:v>SIG034</x:v>
      </x:c>
      <x:c r="C225" s="43" t="str">
        <x:v>NAPA</x:v>
      </x:c>
      <x:c r="D225" s="55" t="n">
        <x:v>2</x:v>
      </x:c>
      <x:c r="E225" s="43" t="str">
        <x:v>NAPA</x:v>
      </x:c>
      <x:c r="F225" s="43" t="str">
        <x:v>NAPA</x:v>
      </x:c>
      <x:c r="G225" s="43" t="str">
        <x:v>NO</x:v>
      </x:c>
      <x:c r="H225" s="59" t="n">
        <x:v>4.203696615</x:v>
      </x:c>
      <x:c r="I225" s="59" t="n">
        <x:v>6.400510535</x:v>
      </x:c>
      <x:c r="J225" s="55" t="n">
        <x:v>0</x:v>
      </x:c>
      <x:c r="K225" s="55" t="n">
        <x:v>0</x:v>
      </x:c>
      <x:c r="L225" s="44" t="str">
        <x:v>COMPLETE</x:v>
      </x:c>
    </x:row>
    <x:row r="226">
      <x:c r="A226" s="51" t="str">
        <x:v>GSE95233</x:v>
      </x:c>
      <x:c r="B226" s="52" t="str">
        <x:v>SIG034</x:v>
      </x:c>
      <x:c r="C226" s="52" t="str">
        <x:v>ATG3</x:v>
      </x:c>
      <x:c r="D226" s="56" t="n">
        <x:v>2</x:v>
      </x:c>
      <x:c r="E226" s="52" t="str">
        <x:v>ATG3</x:v>
      </x:c>
      <x:c r="F226" s="52" t="str">
        <x:v>ATG3</x:v>
      </x:c>
      <x:c r="G226" s="52" t="str">
        <x:v>NO</x:v>
      </x:c>
      <x:c r="H226" s="60" t="n">
        <x:v>6.352073</x:v>
      </x:c>
      <x:c r="I226" s="60" t="n">
        <x:v>9.0713936</x:v>
      </x:c>
      <x:c r="J226" s="56" t="n">
        <x:v>0</x:v>
      </x:c>
      <x:c r="K226" s="56" t="n">
        <x:v>0</x:v>
      </x:c>
      <x:c r="L226" s="53" t="str">
        <x:v>COMPLETE</x:v>
      </x:c>
    </x:row>
    <x:row r="227">
      <x:c r="A227" s="42" t="str">
        <x:v>GSE95233</x:v>
      </x:c>
      <x:c r="B227" s="43" t="str">
        <x:v>SIG034</x:v>
      </x:c>
      <x:c r="C227" s="43" t="str">
        <x:v>VRK2</x:v>
      </x:c>
      <x:c r="D227" s="55" t="n">
        <x:v>1</x:v>
      </x:c>
      <x:c r="E227" s="43" t="str">
        <x:v>VRK2</x:v>
      </x:c>
      <x:c r="F227" s="43" t="str">
        <x:v>VRK2</x:v>
      </x:c>
      <x:c r="G227" s="43" t="str">
        <x:v>NO</x:v>
      </x:c>
      <x:c r="H227" s="59" t="n">
        <x:v>6.15628708</x:v>
      </x:c>
      <x:c r="I227" s="59" t="n">
        <x:v>8.31665546</x:v>
      </x:c>
      <x:c r="J227" s="55" t="n">
        <x:v>0</x:v>
      </x:c>
      <x:c r="K227" s="55" t="n">
        <x:v>0</x:v>
      </x:c>
      <x:c r="L227" s="44" t="str">
        <x:v>COMPLETE</x:v>
      </x:c>
    </x:row>
    <x:row r="228">
      <x:c r="A228" s="51" t="str">
        <x:v>GSE95233</x:v>
      </x:c>
      <x:c r="B228" s="52" t="str">
        <x:v>SIG034</x:v>
      </x:c>
      <x:c r="C228" s="52" t="str">
        <x:v>TMEM123</x:v>
      </x:c>
      <x:c r="D228" s="56" t="n">
        <x:v>1</x:v>
      </x:c>
      <x:c r="E228" s="52" t="str">
        <x:v>TMEM123</x:v>
      </x:c>
      <x:c r="F228" s="52" t="str">
        <x:v>TMEM123</x:v>
      </x:c>
      <x:c r="G228" s="52" t="str">
        <x:v>NO</x:v>
      </x:c>
      <x:c r="H228" s="60" t="n">
        <x:v>6.76065002</x:v>
      </x:c>
      <x:c r="I228" s="60" t="n">
        <x:v>10.2205868</x:v>
      </x:c>
      <x:c r="J228" s="56" t="n">
        <x:v>0</x:v>
      </x:c>
      <x:c r="K228" s="56" t="n">
        <x:v>0</x:v>
      </x:c>
      <x:c r="L228" s="53" t="str">
        <x:v>COMPLETE</x:v>
      </x:c>
    </x:row>
    <x:row r="229">
      <x:c r="A229" s="42" t="str">
        <x:v>GSE95233</x:v>
      </x:c>
      <x:c r="B229" s="43" t="str">
        <x:v>SIG034</x:v>
      </x:c>
      <x:c r="C229" s="43" t="str">
        <x:v>CASP7</x:v>
      </x:c>
      <x:c r="D229" s="55" t="n">
        <x:v>1</x:v>
      </x:c>
      <x:c r="E229" s="43" t="str">
        <x:v>CASP7</x:v>
      </x:c>
      <x:c r="F229" s="43" t="str">
        <x:v>CASP7</x:v>
      </x:c>
      <x:c r="G229" s="43" t="str">
        <x:v>NO</x:v>
      </x:c>
      <x:c r="H229" s="59" t="n">
        <x:v>4.69666242</x:v>
      </x:c>
      <x:c r="I229" s="59" t="n">
        <x:v>7.5519137</x:v>
      </x:c>
      <x:c r="J229" s="55" t="n">
        <x:v>0</x:v>
      </x:c>
      <x:c r="K229" s="55" t="n">
        <x:v>0</x:v>
      </x:c>
      <x:c r="L229" s="44" t="str">
        <x:v>COMPLETE</x:v>
      </x:c>
    </x:row>
    <x:row r="230">
      <x:c r="A230" s="51" t="str">
        <x:v>GSE95233</x:v>
      </x:c>
      <x:c r="B230" s="52" t="str">
        <x:v>SIG034</x:v>
      </x:c>
      <x:c r="C230" s="52" t="str">
        <x:v>DOK2</x:v>
      </x:c>
      <x:c r="D230" s="56" t="n">
        <x:v>1</x:v>
      </x:c>
      <x:c r="E230" s="52" t="str">
        <x:v>DOK2</x:v>
      </x:c>
      <x:c r="F230" s="52" t="str">
        <x:v>DOK2</x:v>
      </x:c>
      <x:c r="G230" s="52" t="str">
        <x:v>NO</x:v>
      </x:c>
      <x:c r="H230" s="60" t="n">
        <x:v>5.52942375</x:v>
      </x:c>
      <x:c r="I230" s="60" t="n">
        <x:v>8.17131184</x:v>
      </x:c>
      <x:c r="J230" s="56" t="n">
        <x:v>0</x:v>
      </x:c>
      <x:c r="K230" s="56" t="n">
        <x:v>0</x:v>
      </x:c>
      <x:c r="L230" s="53" t="str">
        <x:v>COMPLETE</x:v>
      </x:c>
    </x:row>
    <x:row r="231">
      <x:c r="A231" s="42" t="str">
        <x:v>GSE95233</x:v>
      </x:c>
      <x:c r="B231" s="43" t="str">
        <x:v>SIG034</x:v>
      </x:c>
      <x:c r="C231" s="43" t="str">
        <x:v>HLA-DPB1</x:v>
      </x:c>
      <x:c r="D231" s="55" t="n">
        <x:v>2</x:v>
      </x:c>
      <x:c r="E231" s="43" t="str">
        <x:v>HLA-DPB1</x:v>
      </x:c>
      <x:c r="F231" s="43" t="str">
        <x:v>HLA-DPB1</x:v>
      </x:c>
      <x:c r="G231" s="43" t="str">
        <x:v>NO</x:v>
      </x:c>
      <x:c r="H231" s="59" t="n">
        <x:v>4.72783018</x:v>
      </x:c>
      <x:c r="I231" s="59" t="n">
        <x:v>8.8411668</x:v>
      </x:c>
      <x:c r="J231" s="55" t="n">
        <x:v>0</x:v>
      </x:c>
      <x:c r="K231" s="55" t="n">
        <x:v>0</x:v>
      </x:c>
      <x:c r="L231" s="44" t="str">
        <x:v>COMPLETE</x:v>
      </x:c>
    </x:row>
    <x:row r="232">
      <x:c r="A232" s="51" t="str">
        <x:v>GSE95233</x:v>
      </x:c>
      <x:c r="B232" s="52" t="str">
        <x:v>SIG034</x:v>
      </x:c>
      <x:c r="C232" s="52" t="str">
        <x:v>BUB3</x:v>
      </x:c>
      <x:c r="D232" s="56" t="n">
        <x:v>6</x:v>
      </x:c>
      <x:c r="E232" s="52" t="str">
        <x:v>BUB3</x:v>
      </x:c>
      <x:c r="F232" s="52" t="str">
        <x:v>BUB3</x:v>
      </x:c>
      <x:c r="G232" s="52" t="str">
        <x:v>NO</x:v>
      </x:c>
      <x:c r="H232" s="60" t="n">
        <x:v>6.317811809999999</x:v>
      </x:c>
      <x:c r="I232" s="60" t="n">
        <x:v>7.681257038333334</x:v>
      </x:c>
      <x:c r="J232" s="56" t="n">
        <x:v>0</x:v>
      </x:c>
      <x:c r="K232" s="56" t="n">
        <x:v>0</x:v>
      </x:c>
      <x:c r="L232" s="53" t="str">
        <x:v>COMPLETE</x:v>
      </x:c>
    </x:row>
    <x:row r="233">
      <x:c r="A233" s="42" t="str">
        <x:v>GSE95233</x:v>
      </x:c>
      <x:c r="B233" s="43" t="str">
        <x:v>SIG034</x:v>
      </x:c>
      <x:c r="C233" s="43" t="str">
        <x:v>SMYD2</x:v>
      </x:c>
      <x:c r="D233" s="55" t="n">
        <x:v>3</x:v>
      </x:c>
      <x:c r="E233" s="43" t="str">
        <x:v>SMYD2</x:v>
      </x:c>
      <x:c r="F233" s="43" t="str">
        <x:v>SMYD2</x:v>
      </x:c>
      <x:c r="G233" s="43" t="str">
        <x:v>NO</x:v>
      </x:c>
      <x:c r="H233" s="59" t="n">
        <x:v>4.80318494</x:v>
      </x:c>
      <x:c r="I233" s="59" t="n">
        <x:v>6.119507376666667</x:v>
      </x:c>
      <x:c r="J233" s="55" t="n">
        <x:v>0</x:v>
      </x:c>
      <x:c r="K233" s="55" t="n">
        <x:v>0</x:v>
      </x:c>
      <x:c r="L233" s="44" t="str">
        <x:v>COMPLETE</x:v>
      </x:c>
    </x:row>
    <x:row r="234">
      <x:c r="A234" s="51" t="str">
        <x:v>GSE95233</x:v>
      </x:c>
      <x:c r="B234" s="52" t="str">
        <x:v>SIG034</x:v>
      </x:c>
      <x:c r="C234" s="52" t="str">
        <x:v>SIDT1</x:v>
      </x:c>
      <x:c r="D234" s="56" t="n">
        <x:v>1</x:v>
      </x:c>
      <x:c r="E234" s="52" t="str">
        <x:v>SIDT1</x:v>
      </x:c>
      <x:c r="F234" s="52" t="str">
        <x:v>SIDT1</x:v>
      </x:c>
      <x:c r="G234" s="52" t="str">
        <x:v>NO</x:v>
      </x:c>
      <x:c r="H234" s="60" t="n">
        <x:v>2.75054699</x:v>
      </x:c>
      <x:c r="I234" s="60" t="n">
        <x:v>5.55923695</x:v>
      </x:c>
      <x:c r="J234" s="56" t="n">
        <x:v>0</x:v>
      </x:c>
      <x:c r="K234" s="56" t="n">
        <x:v>0</x:v>
      </x:c>
      <x:c r="L234" s="53" t="str">
        <x:v>COMPLETE</x:v>
      </x:c>
    </x:row>
    <x:row r="235">
      <x:c r="A235" s="42" t="str">
        <x:v>GSE95233</x:v>
      </x:c>
      <x:c r="B235" s="43" t="str">
        <x:v>SIG034</x:v>
      </x:c>
      <x:c r="C235" s="43" t="str">
        <x:v>EXOC2</x:v>
      </x:c>
      <x:c r="D235" s="55" t="n">
        <x:v>2</x:v>
      </x:c>
      <x:c r="E235" s="43" t="str">
        <x:v>EXOC2</x:v>
      </x:c>
      <x:c r="F235" s="43" t="str">
        <x:v>EXOC2</x:v>
      </x:c>
      <x:c r="G235" s="43" t="str">
        <x:v>NO</x:v>
      </x:c>
      <x:c r="H235" s="59" t="n">
        <x:v>5.081124055</x:v>
      </x:c>
      <x:c r="I235" s="59" t="n">
        <x:v>6.67001639</x:v>
      </x:c>
      <x:c r="J235" s="55" t="n">
        <x:v>0</x:v>
      </x:c>
      <x:c r="K235" s="55" t="n">
        <x:v>0</x:v>
      </x:c>
      <x:c r="L235" s="44" t="str">
        <x:v>COMPLETE</x:v>
      </x:c>
    </x:row>
    <x:row r="236">
      <x:c r="A236" s="51" t="str">
        <x:v>GSE95233</x:v>
      </x:c>
      <x:c r="B236" s="52" t="str">
        <x:v>SIG034</x:v>
      </x:c>
      <x:c r="C236" s="52" t="str">
        <x:v>TRIB2</x:v>
      </x:c>
      <x:c r="D236" s="56" t="n">
        <x:v>2</x:v>
      </x:c>
      <x:c r="E236" s="52" t="str">
        <x:v>TRIB2</x:v>
      </x:c>
      <x:c r="F236" s="52" t="str">
        <x:v>TRIB2</x:v>
      </x:c>
      <x:c r="G236" s="52" t="str">
        <x:v>NO</x:v>
      </x:c>
      <x:c r="H236" s="60" t="n">
        <x:v>4.5984564500000005</x:v>
      </x:c>
      <x:c r="I236" s="60" t="n">
        <x:v>8.195909115</x:v>
      </x:c>
      <x:c r="J236" s="56" t="n">
        <x:v>0</x:v>
      </x:c>
      <x:c r="K236" s="56" t="n">
        <x:v>0</x:v>
      </x:c>
      <x:c r="L236" s="53" t="str">
        <x:v>COMPLETE</x:v>
      </x:c>
    </x:row>
    <x:row r="237">
      <x:c r="A237" s="42" t="str">
        <x:v>GSE95233</x:v>
      </x:c>
      <x:c r="B237" s="43" t="str">
        <x:v>SIG034</x:v>
      </x:c>
      <x:c r="C237" s="43" t="str">
        <x:v>KLRB1</x:v>
      </x:c>
      <x:c r="D237" s="55" t="n">
        <x:v>1</x:v>
      </x:c>
      <x:c r="E237" s="43" t="str">
        <x:v>KLRB1</x:v>
      </x:c>
      <x:c r="F237" s="43" t="str">
        <x:v>KLRB1</x:v>
      </x:c>
      <x:c r="G237" s="43" t="str">
        <x:v>NO</x:v>
      </x:c>
      <x:c r="H237" s="59" t="n">
        <x:v>5.57948568</x:v>
      </x:c>
      <x:c r="I237" s="59" t="n">
        <x:v>9.85013211</x:v>
      </x:c>
      <x:c r="J237" s="55" t="n">
        <x:v>0</x:v>
      </x:c>
      <x:c r="K237" s="55" t="n">
        <x:v>0</x:v>
      </x:c>
      <x:c r="L237" s="44" t="str">
        <x:v>COMPLETE</x:v>
      </x:c>
    </x:row>
    <x:row r="238">
      <x:c r="A238" s="51" t="str">
        <x:v>GSE8121</x:v>
      </x:c>
      <x:c r="B238" s="52" t="str">
        <x:v>SIG001</x:v>
      </x:c>
      <x:c r="C238" s="52" t="str">
        <x:v>CEACAM1</x:v>
      </x:c>
      <x:c r="D238" s="56" t="n">
        <x:v>5</x:v>
      </x:c>
      <x:c r="E238" s="52" t="str">
        <x:v>CEACAM1</x:v>
      </x:c>
      <x:c r="F238" s="52" t="str">
        <x:v>CEACAM1</x:v>
      </x:c>
      <x:c r="G238" s="52" t="str">
        <x:v>NO</x:v>
      </x:c>
      <x:c r="H238" s="60" t="n">
        <x:v>0.733062224</x:v>
      </x:c>
      <x:c r="I238" s="60" t="n">
        <x:v>18.8230516</x:v>
      </x:c>
      <x:c r="J238" s="56" t="n">
        <x:v>0</x:v>
      </x:c>
      <x:c r="K238" s="56" t="n">
        <x:v>0</x:v>
      </x:c>
      <x:c r="L238" s="53" t="str">
        <x:v>COMPLETE</x:v>
      </x:c>
    </x:row>
    <x:row r="239">
      <x:c r="A239" s="42" t="str">
        <x:v>GSE8121</x:v>
      </x:c>
      <x:c r="B239" s="43" t="str">
        <x:v>SIG001</x:v>
      </x:c>
      <x:c r="C239" s="43" t="str">
        <x:v>ZDHHC19</x:v>
      </x:c>
      <x:c r="D239" s="55" t="n">
        <x:v>2</x:v>
      </x:c>
      <x:c r="E239" s="43" t="str">
        <x:v>ZDHHC19</x:v>
      </x:c>
      <x:c r="F239" s="43" t="str">
        <x:v>ZDHHC19</x:v>
      </x:c>
      <x:c r="G239" s="43" t="str">
        <x:v>NO</x:v>
      </x:c>
      <x:c r="H239" s="59" t="n">
        <x:v>0.75333322</x:v>
      </x:c>
      <x:c r="I239" s="59" t="n">
        <x:v>22.2964755</x:v>
      </x:c>
      <x:c r="J239" s="55" t="n">
        <x:v>0</x:v>
      </x:c>
      <x:c r="K239" s="55" t="n">
        <x:v>0</x:v>
      </x:c>
      <x:c r="L239" s="44" t="str">
        <x:v>COMPLETE</x:v>
      </x:c>
    </x:row>
    <x:row r="240">
      <x:c r="A240" s="51" t="str">
        <x:v>GSE8121</x:v>
      </x:c>
      <x:c r="B240" s="52" t="str">
        <x:v>SIG001</x:v>
      </x:c>
      <x:c r="C240" s="52" t="str">
        <x:v>NMRK1</x:v>
      </x:c>
      <x:c r="D240" s="56" t="n">
        <x:v>2</x:v>
      </x:c>
      <x:c r="E240" s="52" t="str">
        <x:v>NMRK1</x:v>
      </x:c>
      <x:c r="F240" s="52" t="str">
        <x:v>NMRK1</x:v>
      </x:c>
      <x:c r="G240" s="52" t="str">
        <x:v>NO</x:v>
      </x:c>
      <x:c r="H240" s="60" t="n">
        <x:v>0.592090065</x:v>
      </x:c>
      <x:c r="I240" s="60" t="n">
        <x:v>3.7124573</x:v>
      </x:c>
      <x:c r="J240" s="56" t="n">
        <x:v>0</x:v>
      </x:c>
      <x:c r="K240" s="56" t="n">
        <x:v>0</x:v>
      </x:c>
      <x:c r="L240" s="53" t="str">
        <x:v>COMPLETE</x:v>
      </x:c>
    </x:row>
    <x:row r="241">
      <x:c r="A241" s="42" t="str">
        <x:v>GSE8121</x:v>
      </x:c>
      <x:c r="B241" s="43" t="str">
        <x:v>SIG001</x:v>
      </x:c>
      <x:c r="C241" s="43" t="str">
        <x:v>GNA15</x:v>
      </x:c>
      <x:c r="D241" s="55" t="n">
        <x:v>1</x:v>
      </x:c>
      <x:c r="E241" s="43" t="str">
        <x:v>GNA15</x:v>
      </x:c>
      <x:c r="F241" s="43" t="str">
        <x:v>GNA15</x:v>
      </x:c>
      <x:c r="G241" s="43" t="str">
        <x:v>NO</x:v>
      </x:c>
      <x:c r="H241" s="59" t="n">
        <x:v>0.5588254</x:v>
      </x:c>
      <x:c r="I241" s="59" t="n">
        <x:v>4.478583</x:v>
      </x:c>
      <x:c r="J241" s="55" t="n">
        <x:v>0</x:v>
      </x:c>
      <x:c r="K241" s="55" t="n">
        <x:v>0</x:v>
      </x:c>
      <x:c r="L241" s="44" t="str">
        <x:v>COMPLETE</x:v>
      </x:c>
    </x:row>
    <x:row r="242">
      <x:c r="A242" s="51" t="str">
        <x:v>GSE8121</x:v>
      </x:c>
      <x:c r="B242" s="52" t="str">
        <x:v>SIG001</x:v>
      </x:c>
      <x:c r="C242" s="52" t="str">
        <x:v>BATF</x:v>
      </x:c>
      <x:c r="D242" s="56" t="n">
        <x:v>1</x:v>
      </x:c>
      <x:c r="E242" s="52" t="str">
        <x:v>BATF</x:v>
      </x:c>
      <x:c r="F242" s="52" t="str">
        <x:v>BATF</x:v>
      </x:c>
      <x:c r="G242" s="52" t="str">
        <x:v>NO</x:v>
      </x:c>
      <x:c r="H242" s="60" t="n">
        <x:v>0.7906683</x:v>
      </x:c>
      <x:c r="I242" s="60" t="n">
        <x:v>2.544074</x:v>
      </x:c>
      <x:c r="J242" s="56" t="n">
        <x:v>0</x:v>
      </x:c>
      <x:c r="K242" s="56" t="n">
        <x:v>0</x:v>
      </x:c>
      <x:c r="L242" s="53" t="str">
        <x:v>COMPLETE</x:v>
      </x:c>
    </x:row>
    <x:row r="243">
      <x:c r="A243" s="42" t="str">
        <x:v>GSE8121</x:v>
      </x:c>
      <x:c r="B243" s="43" t="str">
        <x:v>SIG001</x:v>
      </x:c>
      <x:c r="C243" s="43" t="str">
        <x:v>C3AR1</x:v>
      </x:c>
      <x:c r="D243" s="55" t="n">
        <x:v>1</x:v>
      </x:c>
      <x:c r="E243" s="43" t="str">
        <x:v>C3AR1</x:v>
      </x:c>
      <x:c r="F243" s="43" t="str">
        <x:v>C3AR1</x:v>
      </x:c>
      <x:c r="G243" s="43" t="str">
        <x:v>NO</x:v>
      </x:c>
      <x:c r="H243" s="59" t="n">
        <x:v>0.61085624</x:v>
      </x:c>
      <x:c r="I243" s="59" t="n">
        <x:v>14.317388</x:v>
      </x:c>
      <x:c r="J243" s="55" t="n">
        <x:v>0</x:v>
      </x:c>
      <x:c r="K243" s="55" t="n">
        <x:v>0</x:v>
      </x:c>
      <x:c r="L243" s="44" t="str">
        <x:v>COMPLETE</x:v>
      </x:c>
    </x:row>
    <x:row r="244">
      <x:c r="A244" s="51" t="str">
        <x:v>GSE8121</x:v>
      </x:c>
      <x:c r="B244" s="52" t="str">
        <x:v>SIG001</x:v>
      </x:c>
      <x:c r="C244" s="52" t="str">
        <x:v>FAM214A</x:v>
      </x:c>
      <x:c r="D244" s="56" t="n">
        <x:v>2</x:v>
      </x:c>
      <x:c r="E244" s="52" t="str">
        <x:v>FAM214A</x:v>
      </x:c>
      <x:c r="F244" s="52" t="str">
        <x:v>FAM214A</x:v>
      </x:c>
      <x:c r="G244" s="52" t="str">
        <x:v>NO</x:v>
      </x:c>
      <x:c r="H244" s="60" t="n">
        <x:v>0.353887788</x:v>
      </x:c>
      <x:c r="I244" s="60" t="n">
        <x:v>1.63072615</x:v>
      </x:c>
      <x:c r="J244" s="56" t="n">
        <x:v>0</x:v>
      </x:c>
      <x:c r="K244" s="56" t="n">
        <x:v>0</x:v>
      </x:c>
      <x:c r="L244" s="53" t="str">
        <x:v>COMPLETE</x:v>
      </x:c>
    </x:row>
    <x:row r="245">
      <x:c r="A245" s="42" t="str">
        <x:v>GSE8121</x:v>
      </x:c>
      <x:c r="B245" s="43" t="str">
        <x:v>SIG001</x:v>
      </x:c>
      <x:c r="C245" s="43" t="str">
        <x:v>TGFBI</x:v>
      </x:c>
      <x:c r="D245" s="55" t="n">
        <x:v>1</x:v>
      </x:c>
      <x:c r="E245" s="43" t="str">
        <x:v>TGFBI</x:v>
      </x:c>
      <x:c r="F245" s="43" t="str">
        <x:v>TGFBI</x:v>
      </x:c>
      <x:c r="G245" s="43" t="str">
        <x:v>NO</x:v>
      </x:c>
      <x:c r="H245" s="59" t="n">
        <x:v>0.07731221</x:v>
      </x:c>
      <x:c r="I245" s="59" t="n">
        <x:v>2.0714927</x:v>
      </x:c>
      <x:c r="J245" s="55" t="n">
        <x:v>0</x:v>
      </x:c>
      <x:c r="K245" s="55" t="n">
        <x:v>0</x:v>
      </x:c>
      <x:c r="L245" s="44" t="str">
        <x:v>COMPLETE</x:v>
      </x:c>
    </x:row>
    <x:row r="246">
      <x:c r="A246" s="51" t="str">
        <x:v>GSE8121</x:v>
      </x:c>
      <x:c r="B246" s="52" t="str">
        <x:v>SIG001</x:v>
      </x:c>
      <x:c r="C246" s="52" t="str">
        <x:v>MTCH1</x:v>
      </x:c>
      <x:c r="D246" s="56" t="n">
        <x:v>1</x:v>
      </x:c>
      <x:c r="E246" s="52" t="str">
        <x:v>MTCH1</x:v>
      </x:c>
      <x:c r="F246" s="52" t="str">
        <x:v>MTCH1</x:v>
      </x:c>
      <x:c r="G246" s="52" t="str">
        <x:v>NO</x:v>
      </x:c>
      <x:c r="H246" s="60" t="n">
        <x:v>0.24334766</x:v>
      </x:c>
      <x:c r="I246" s="60" t="n">
        <x:v>1.5200335</x:v>
      </x:c>
      <x:c r="J246" s="56" t="n">
        <x:v>0</x:v>
      </x:c>
      <x:c r="K246" s="56" t="n">
        <x:v>0</x:v>
      </x:c>
      <x:c r="L246" s="53" t="str">
        <x:v>COMPLETE</x:v>
      </x:c>
    </x:row>
    <x:row r="247">
      <x:c r="A247" s="42" t="str">
        <x:v>GSE8121</x:v>
      </x:c>
      <x:c r="B247" s="43" t="str">
        <x:v>SIG001</x:v>
      </x:c>
      <x:c r="C247" s="43" t="str">
        <x:v>RPGRIP1</x:v>
      </x:c>
      <x:c r="D247" s="55" t="n">
        <x:v>1</x:v>
      </x:c>
      <x:c r="E247" s="43" t="str">
        <x:v>RPGRIP1</x:v>
      </x:c>
      <x:c r="F247" s="43" t="str">
        <x:v>RPGRIP1</x:v>
      </x:c>
      <x:c r="G247" s="43" t="str">
        <x:v>NO</x:v>
      </x:c>
      <x:c r="H247" s="59" t="n">
        <x:v>0.6768051</x:v>
      </x:c>
      <x:c r="I247" s="59" t="n">
        <x:v>1.3428774</x:v>
      </x:c>
      <x:c r="J247" s="55" t="n">
        <x:v>0</x:v>
      </x:c>
      <x:c r="K247" s="55" t="n">
        <x:v>0</x:v>
      </x:c>
      <x:c r="L247" s="44" t="str">
        <x:v>COMPLETE</x:v>
      </x:c>
    </x:row>
    <x:row r="248">
      <x:c r="A248" s="51" t="str">
        <x:v>GSE8121</x:v>
      </x:c>
      <x:c r="B248" s="52" t="str">
        <x:v>SIG001</x:v>
      </x:c>
      <x:c r="C248" s="52" t="str">
        <x:v>HLA-DPB1</x:v>
      </x:c>
      <x:c r="D248" s="56" t="n">
        <x:v>2</x:v>
      </x:c>
      <x:c r="E248" s="52" t="str">
        <x:v>HLA-DPB1</x:v>
      </x:c>
      <x:c r="F248" s="52" t="str">
        <x:v>HLA-DPB1</x:v>
      </x:c>
      <x:c r="G248" s="52" t="str">
        <x:v>NO</x:v>
      </x:c>
      <x:c r="H248" s="60" t="n">
        <x:v>0.271730365</x:v>
      </x:c>
      <x:c r="I248" s="60" t="n">
        <x:v>2.40963435</x:v>
      </x:c>
      <x:c r="J248" s="56" t="n">
        <x:v>0</x:v>
      </x:c>
      <x:c r="K248" s="56" t="n">
        <x:v>0</x:v>
      </x:c>
      <x:c r="L248" s="53" t="str">
        <x:v>COMPLETE</x:v>
      </x:c>
    </x:row>
    <x:row r="249">
      <x:c r="A249" s="42" t="str">
        <x:v>GSE8121</x:v>
      </x:c>
      <x:c r="B249" s="43" t="str">
        <x:v>SIG002</x:v>
      </x:c>
      <x:c r="C249" s="43" t="str">
        <x:v>PLAC8</x:v>
      </x:c>
      <x:c r="D249" s="55" t="n">
        <x:v>1</x:v>
      </x:c>
      <x:c r="E249" s="43" t="str">
        <x:v>PLAC8</x:v>
      </x:c>
      <x:c r="F249" s="43" t="str">
        <x:v>PLAC8</x:v>
      </x:c>
      <x:c r="G249" s="43" t="str">
        <x:v>NO</x:v>
      </x:c>
      <x:c r="H249" s="59" t="n">
        <x:v>0.14776973</x:v>
      </x:c>
      <x:c r="I249" s="59" t="n">
        <x:v>3.8600526</x:v>
      </x:c>
      <x:c r="J249" s="55" t="n">
        <x:v>0</x:v>
      </x:c>
      <x:c r="K249" s="55" t="n">
        <x:v>0</x:v>
      </x:c>
      <x:c r="L249" s="44" t="str">
        <x:v>COMPLETE</x:v>
      </x:c>
    </x:row>
    <x:row r="250">
      <x:c r="A250" s="51" t="str">
        <x:v>GSE8121</x:v>
      </x:c>
      <x:c r="B250" s="52" t="str">
        <x:v>SIG002</x:v>
      </x:c>
      <x:c r="C250" s="52" t="str">
        <x:v>LAMP1</x:v>
      </x:c>
      <x:c r="D250" s="56" t="n">
        <x:v>4</x:v>
      </x:c>
      <x:c r="E250" s="52" t="str">
        <x:v>LAMP1</x:v>
      </x:c>
      <x:c r="F250" s="52" t="str">
        <x:v>LAMP1</x:v>
      </x:c>
      <x:c r="G250" s="52" t="str">
        <x:v>NO</x:v>
      </x:c>
      <x:c r="H250" s="60" t="n">
        <x:v>0.638597895</x:v>
      </x:c>
      <x:c r="I250" s="60" t="n">
        <x:v>3.185946825</x:v>
      </x:c>
      <x:c r="J250" s="56" t="n">
        <x:v>0</x:v>
      </x:c>
      <x:c r="K250" s="56" t="n">
        <x:v>0</x:v>
      </x:c>
      <x:c r="L250" s="53" t="str">
        <x:v>COMPLETE</x:v>
      </x:c>
    </x:row>
    <x:row r="251">
      <x:c r="A251" s="42" t="str">
        <x:v>GSE8121</x:v>
      </x:c>
      <x:c r="B251" s="43" t="str">
        <x:v>SIG002</x:v>
      </x:c>
      <x:c r="C251" s="43" t="str">
        <x:v>PLA2G7</x:v>
      </x:c>
      <x:c r="D251" s="55" t="n">
        <x:v>1</x:v>
      </x:c>
      <x:c r="E251" s="43" t="str">
        <x:v>PLA2G7</x:v>
      </x:c>
      <x:c r="F251" s="43" t="str">
        <x:v>PLA2G7</x:v>
      </x:c>
      <x:c r="G251" s="43" t="str">
        <x:v>NO</x:v>
      </x:c>
      <x:c r="H251" s="59" t="n">
        <x:v>0.5472791</x:v>
      </x:c>
      <x:c r="I251" s="59" t="n">
        <x:v>2.7188118</x:v>
      </x:c>
      <x:c r="J251" s="55" t="n">
        <x:v>0</x:v>
      </x:c>
      <x:c r="K251" s="55" t="n">
        <x:v>0</x:v>
      </x:c>
      <x:c r="L251" s="44" t="str">
        <x:v>COMPLETE</x:v>
      </x:c>
    </x:row>
    <x:row r="252">
      <x:c r="A252" s="51" t="str">
        <x:v>GSE8121</x:v>
      </x:c>
      <x:c r="B252" s="52" t="str">
        <x:v>SIG002</x:v>
      </x:c>
      <x:c r="C252" s="52" t="str">
        <x:v>CEACAM4</x:v>
      </x:c>
      <x:c r="D252" s="56" t="n">
        <x:v>1</x:v>
      </x:c>
      <x:c r="E252" s="52" t="str">
        <x:v>CEACAM4</x:v>
      </x:c>
      <x:c r="F252" s="52" t="str">
        <x:v>CEACAM4</x:v>
      </x:c>
      <x:c r="G252" s="52" t="str">
        <x:v>NO</x:v>
      </x:c>
      <x:c r="H252" s="60" t="n">
        <x:v>0.7615646</x:v>
      </x:c>
      <x:c r="I252" s="60" t="n">
        <x:v>3.7006087</x:v>
      </x:c>
      <x:c r="J252" s="56" t="n">
        <x:v>0</x:v>
      </x:c>
      <x:c r="K252" s="56" t="n">
        <x:v>0</x:v>
      </x:c>
      <x:c r="L252" s="53" t="str">
        <x:v>COMPLETE</x:v>
      </x:c>
    </x:row>
    <x:row r="253">
      <x:c r="A253" s="42" t="str">
        <x:v>GSE8121</x:v>
      </x:c>
      <x:c r="B253" s="43" t="str">
        <x:v>SIG003</x:v>
      </x:c>
      <x:c r="C253" s="43" t="str">
        <x:v>FAIM3</x:v>
      </x:c>
      <x:c r="D253" s="55" t="n">
        <x:v>2</x:v>
      </x:c>
      <x:c r="E253" s="43" t="str">
        <x:v>FCMR</x:v>
      </x:c>
      <x:c r="F253" s="43" t="str">
        <x:v>FAIM3</x:v>
      </x:c>
      <x:c r="G253" s="43" t="str">
        <x:v>YES</x:v>
      </x:c>
      <x:c r="H253" s="59" t="n">
        <x:v>0.08581416</x:v>
      </x:c>
      <x:c r="I253" s="59" t="n">
        <x:v>2.1120873</x:v>
      </x:c>
      <x:c r="J253" s="55" t="n">
        <x:v>0</x:v>
      </x:c>
      <x:c r="K253" s="55" t="n">
        <x:v>0</x:v>
      </x:c>
      <x:c r="L253" s="44" t="str">
        <x:v>COMPLETE</x:v>
      </x:c>
    </x:row>
    <x:row r="254">
      <x:c r="A254" s="51" t="str">
        <x:v>GSE8121</x:v>
      </x:c>
      <x:c r="B254" s="52" t="str">
        <x:v>SIG003</x:v>
      </x:c>
      <x:c r="C254" s="52" t="str">
        <x:v>PLAC8</x:v>
      </x:c>
      <x:c r="D254" s="56" t="n">
        <x:v>1</x:v>
      </x:c>
      <x:c r="E254" s="52" t="str">
        <x:v>PLAC8</x:v>
      </x:c>
      <x:c r="F254" s="52" t="str">
        <x:v>PLAC8</x:v>
      </x:c>
      <x:c r="G254" s="52" t="str">
        <x:v>NO</x:v>
      </x:c>
      <x:c r="H254" s="60" t="n">
        <x:v>0.14776973</x:v>
      </x:c>
      <x:c r="I254" s="60" t="n">
        <x:v>3.8600526</x:v>
      </x:c>
      <x:c r="J254" s="56" t="n">
        <x:v>0</x:v>
      </x:c>
      <x:c r="K254" s="56" t="n">
        <x:v>0</x:v>
      </x:c>
      <x:c r="L254" s="53" t="str">
        <x:v>COMPLETE</x:v>
      </x:c>
    </x:row>
    <x:row r="255">
      <x:c r="A255" s="42" t="str">
        <x:v>GSE8121</x:v>
      </x:c>
      <x:c r="B255" s="43" t="str">
        <x:v>SIG004</x:v>
      </x:c>
      <x:c r="C255" s="43" t="str">
        <x:v>NLRP1</x:v>
      </x:c>
      <x:c r="D255" s="55" t="n">
        <x:v>5</x:v>
      </x:c>
      <x:c r="E255" s="43" t="str">
        <x:v>NLRP1</x:v>
      </x:c>
      <x:c r="F255" s="43" t="str">
        <x:v>NLRP1</x:v>
      </x:c>
      <x:c r="G255" s="43" t="str">
        <x:v>NO</x:v>
      </x:c>
      <x:c r="H255" s="59" t="n">
        <x:v>0.4437940159999999</x:v>
      </x:c>
      <x:c r="I255" s="59" t="n">
        <x:v>1.250987706</x:v>
      </x:c>
      <x:c r="J255" s="55" t="n">
        <x:v>0</x:v>
      </x:c>
      <x:c r="K255" s="55" t="n">
        <x:v>0</x:v>
      </x:c>
      <x:c r="L255" s="44" t="str">
        <x:v>COMPLETE</x:v>
      </x:c>
    </x:row>
    <x:row r="256">
      <x:c r="A256" s="51" t="str">
        <x:v>GSE8121</x:v>
      </x:c>
      <x:c r="B256" s="52" t="str">
        <x:v>SIG004</x:v>
      </x:c>
      <x:c r="C256" s="52" t="str">
        <x:v>IDNK</x:v>
      </x:c>
      <x:c r="D256" s="56" t="n">
        <x:v>2</x:v>
      </x:c>
      <x:c r="E256" s="52" t="str">
        <x:v>IDNK</x:v>
      </x:c>
      <x:c r="F256" s="52" t="str">
        <x:v>IDNK</x:v>
      </x:c>
      <x:c r="G256" s="52" t="str">
        <x:v>NO</x:v>
      </x:c>
      <x:c r="H256" s="60" t="n">
        <x:v>0.53010617</x:v>
      </x:c>
      <x:c r="I256" s="60" t="n">
        <x:v>4.69371035</x:v>
      </x:c>
      <x:c r="J256" s="56" t="n">
        <x:v>0</x:v>
      </x:c>
      <x:c r="K256" s="56" t="n">
        <x:v>0</x:v>
      </x:c>
      <x:c r="L256" s="53" t="str">
        <x:v>COMPLETE</x:v>
      </x:c>
    </x:row>
    <x:row r="257">
      <x:c r="A257" s="42" t="str">
        <x:v>GSE8121</x:v>
      </x:c>
      <x:c r="B257" s="43" t="str">
        <x:v>SIG004</x:v>
      </x:c>
      <x:c r="C257" s="43" t="str">
        <x:v>PLAC8</x:v>
      </x:c>
      <x:c r="D257" s="55" t="n">
        <x:v>1</x:v>
      </x:c>
      <x:c r="E257" s="43" t="str">
        <x:v>PLAC8</x:v>
      </x:c>
      <x:c r="F257" s="43" t="str">
        <x:v>PLAC8</x:v>
      </x:c>
      <x:c r="G257" s="43" t="str">
        <x:v>NO</x:v>
      </x:c>
      <x:c r="H257" s="59" t="n">
        <x:v>0.14776973</x:v>
      </x:c>
      <x:c r="I257" s="59" t="n">
        <x:v>3.8600526</x:v>
      </x:c>
      <x:c r="J257" s="55" t="n">
        <x:v>0</x:v>
      </x:c>
      <x:c r="K257" s="55" t="n">
        <x:v>0</x:v>
      </x:c>
      <x:c r="L257" s="44" t="str">
        <x:v>COMPLETE</x:v>
      </x:c>
    </x:row>
    <x:row r="258">
      <x:c r="A258" s="51" t="str">
        <x:v>GSE8121</x:v>
      </x:c>
      <x:c r="B258" s="52" t="str">
        <x:v>SIG022</x:v>
      </x:c>
      <x:c r="C258" s="52" t="str">
        <x:v>IFI27</x:v>
      </x:c>
      <x:c r="D258" s="56" t="n">
        <x:v>1</x:v>
      </x:c>
      <x:c r="E258" s="52" t="str">
        <x:v>IFI27</x:v>
      </x:c>
      <x:c r="F258" s="52" t="str">
        <x:v>IFI27</x:v>
      </x:c>
      <x:c r="G258" s="52" t="str">
        <x:v>NO</x:v>
      </x:c>
      <x:c r="H258" s="60" t="n">
        <x:v>0.18797404</x:v>
      </x:c>
      <x:c r="I258" s="60" t="n">
        <x:v>119.99463</x:v>
      </x:c>
      <x:c r="J258" s="56" t="n">
        <x:v>0</x:v>
      </x:c>
      <x:c r="K258" s="56" t="n">
        <x:v>0</x:v>
      </x:c>
      <x:c r="L258" s="53" t="str">
        <x:v>COMPLETE</x:v>
      </x:c>
    </x:row>
    <x:row r="259">
      <x:c r="A259" s="42" t="str">
        <x:v>GSE8121</x:v>
      </x:c>
      <x:c r="B259" s="43" t="str">
        <x:v>SIG022</x:v>
      </x:c>
      <x:c r="C259" s="43" t="str">
        <x:v>JUP</x:v>
      </x:c>
      <x:c r="D259" s="55" t="n">
        <x:v>3</x:v>
      </x:c>
      <x:c r="E259" s="43" t="str">
        <x:v>JUP; KRT17///JUP</x:v>
      </x:c>
      <x:c r="F259" s="43" t="str">
        <x:v>JUP</x:v>
      </x:c>
      <x:c r="G259" s="43" t="str">
        <x:v>YES</x:v>
      </x:c>
      <x:c r="H259" s="59" t="n">
        <x:v>0.7340268499999999</x:v>
      </x:c>
      <x:c r="I259" s="59" t="n">
        <x:v>2.3081356000000004</x:v>
      </x:c>
      <x:c r="J259" s="55" t="n">
        <x:v>0</x:v>
      </x:c>
      <x:c r="K259" s="55" t="n">
        <x:v>0</x:v>
      </x:c>
      <x:c r="L259" s="44" t="str">
        <x:v>COMPLETE</x:v>
      </x:c>
    </x:row>
    <x:row r="260">
      <x:c r="A260" s="51" t="str">
        <x:v>GSE8121</x:v>
      </x:c>
      <x:c r="B260" s="52" t="str">
        <x:v>SIG022</x:v>
      </x:c>
      <x:c r="C260" s="52" t="str">
        <x:v>LAX1</x:v>
      </x:c>
      <x:c r="D260" s="56" t="n">
        <x:v>1</x:v>
      </x:c>
      <x:c r="E260" s="52" t="str">
        <x:v>LAX1</x:v>
      </x:c>
      <x:c r="F260" s="52" t="str">
        <x:v>LAX1</x:v>
      </x:c>
      <x:c r="G260" s="52" t="str">
        <x:v>NO</x:v>
      </x:c>
      <x:c r="H260" s="60" t="n">
        <x:v>0.33803517</x:v>
      </x:c>
      <x:c r="I260" s="60" t="n">
        <x:v>1.7223675</x:v>
      </x:c>
      <x:c r="J260" s="56" t="n">
        <x:v>0</x:v>
      </x:c>
      <x:c r="K260" s="56" t="n">
        <x:v>0</x:v>
      </x:c>
      <x:c r="L260" s="53" t="str">
        <x:v>COMPLETE</x:v>
      </x:c>
    </x:row>
    <x:row r="261">
      <x:c r="A261" s="42" t="str">
        <x:v>GSE8121</x:v>
      </x:c>
      <x:c r="B261" s="43" t="str">
        <x:v>SIG022</x:v>
      </x:c>
      <x:c r="C261" s="43" t="str">
        <x:v>HK3</x:v>
      </x:c>
      <x:c r="D261" s="55" t="n">
        <x:v>1</x:v>
      </x:c>
      <x:c r="E261" s="43" t="str">
        <x:v>HK3</x:v>
      </x:c>
      <x:c r="F261" s="43" t="str">
        <x:v>HK3</x:v>
      </x:c>
      <x:c r="G261" s="43" t="str">
        <x:v>NO</x:v>
      </x:c>
      <x:c r="H261" s="59" t="n">
        <x:v>0.56402946</x:v>
      </x:c>
      <x:c r="I261" s="59" t="n">
        <x:v>13.273855</x:v>
      </x:c>
      <x:c r="J261" s="55" t="n">
        <x:v>0</x:v>
      </x:c>
      <x:c r="K261" s="55" t="n">
        <x:v>0</x:v>
      </x:c>
      <x:c r="L261" s="44" t="str">
        <x:v>COMPLETE</x:v>
      </x:c>
    </x:row>
    <x:row r="262">
      <x:c r="A262" s="51" t="str">
        <x:v>GSE8121</x:v>
      </x:c>
      <x:c r="B262" s="52" t="str">
        <x:v>SIG022</x:v>
      </x:c>
      <x:c r="C262" s="52" t="str">
        <x:v>TNIP1</x:v>
      </x:c>
      <x:c r="D262" s="56" t="n">
        <x:v>2</x:v>
      </x:c>
      <x:c r="E262" s="52" t="str">
        <x:v>TNIP1</x:v>
      </x:c>
      <x:c r="F262" s="52" t="str">
        <x:v>TNIP1</x:v>
      </x:c>
      <x:c r="G262" s="52" t="str">
        <x:v>NO</x:v>
      </x:c>
      <x:c r="H262" s="60" t="n">
        <x:v>0.55851523</x:v>
      </x:c>
      <x:c r="I262" s="60" t="n">
        <x:v>1.7678228</x:v>
      </x:c>
      <x:c r="J262" s="56" t="n">
        <x:v>0</x:v>
      </x:c>
      <x:c r="K262" s="56" t="n">
        <x:v>0</x:v>
      </x:c>
      <x:c r="L262" s="53" t="str">
        <x:v>COMPLETE</x:v>
      </x:c>
    </x:row>
    <x:row r="263">
      <x:c r="A263" s="42" t="str">
        <x:v>GSE8121</x:v>
      </x:c>
      <x:c r="B263" s="43" t="str">
        <x:v>SIG022</x:v>
      </x:c>
      <x:c r="C263" s="43" t="str">
        <x:v>GPAA1</x:v>
      </x:c>
      <x:c r="D263" s="55" t="n">
        <x:v>3</x:v>
      </x:c>
      <x:c r="E263" s="43" t="str">
        <x:v>GPAA1</x:v>
      </x:c>
      <x:c r="F263" s="43" t="str">
        <x:v>GPAA1</x:v>
      </x:c>
      <x:c r="G263" s="43" t="str">
        <x:v>NO</x:v>
      </x:c>
      <x:c r="H263" s="59" t="n">
        <x:v>0.7214047733333334</x:v>
      </x:c>
      <x:c r="I263" s="59" t="n">
        <x:v>1.9114862333333331</x:v>
      </x:c>
      <x:c r="J263" s="55" t="n">
        <x:v>0</x:v>
      </x:c>
      <x:c r="K263" s="55" t="n">
        <x:v>0</x:v>
      </x:c>
      <x:c r="L263" s="44" t="str">
        <x:v>COMPLETE</x:v>
      </x:c>
    </x:row>
    <x:row r="264">
      <x:c r="A264" s="51" t="str">
        <x:v>GSE8121</x:v>
      </x:c>
      <x:c r="B264" s="52" t="str">
        <x:v>SIG022</x:v>
      </x:c>
      <x:c r="C264" s="52" t="str">
        <x:v>CTSB</x:v>
      </x:c>
      <x:c r="D264" s="56" t="n">
        <x:v>5</x:v>
      </x:c>
      <x:c r="E264" s="52" t="str">
        <x:v>CTSB</x:v>
      </x:c>
      <x:c r="F264" s="52" t="str">
        <x:v>CTSB</x:v>
      </x:c>
      <x:c r="G264" s="52" t="str">
        <x:v>NO</x:v>
      </x:c>
      <x:c r="H264" s="60" t="n">
        <x:v>0.6534030019999999</x:v>
      </x:c>
      <x:c r="I264" s="60" t="n">
        <x:v>4.41576244</x:v>
      </x:c>
      <x:c r="J264" s="56" t="n">
        <x:v>0</x:v>
      </x:c>
      <x:c r="K264" s="56" t="n">
        <x:v>0</x:v>
      </x:c>
      <x:c r="L264" s="53" t="str">
        <x:v>COMPLETE</x:v>
      </x:c>
    </x:row>
    <x:row r="265">
      <x:c r="A265" s="42" t="str">
        <x:v>GSE8121</x:v>
      </x:c>
      <x:c r="B265" s="43" t="str">
        <x:v>SIG023</x:v>
      </x:c>
      <x:c r="C265" s="43" t="str">
        <x:v>FAM89A</x:v>
      </x:c>
      <x:c r="D265" s="55" t="n">
        <x:v>1</x:v>
      </x:c>
      <x:c r="E265" s="43" t="str">
        <x:v>MIR1182///FAM89A</x:v>
      </x:c>
      <x:c r="F265" s="43" t="str">
        <x:v>FAM89A</x:v>
      </x:c>
      <x:c r="G265" s="43" t="str">
        <x:v>YES</x:v>
      </x:c>
      <x:c r="H265" s="59" t="n">
        <x:v>0.49026963</x:v>
      </x:c>
      <x:c r="I265" s="59" t="n">
        <x:v>11.555709</x:v>
      </x:c>
      <x:c r="J265" s="55" t="n">
        <x:v>0</x:v>
      </x:c>
      <x:c r="K265" s="55" t="n">
        <x:v>0</x:v>
      </x:c>
      <x:c r="L265" s="44" t="str">
        <x:v>COMPLETE</x:v>
      </x:c>
    </x:row>
    <x:row r="266">
      <x:c r="A266" s="51" t="str">
        <x:v>GSE8121</x:v>
      </x:c>
      <x:c r="B266" s="52" t="str">
        <x:v>SIG023</x:v>
      </x:c>
      <x:c r="C266" s="52" t="str">
        <x:v>IFI44L</x:v>
      </x:c>
      <x:c r="D266" s="56" t="n">
        <x:v>1</x:v>
      </x:c>
      <x:c r="E266" s="52" t="str">
        <x:v>IFI44L</x:v>
      </x:c>
      <x:c r="F266" s="52" t="str">
        <x:v>IFI44L</x:v>
      </x:c>
      <x:c r="G266" s="52" t="str">
        <x:v>NO</x:v>
      </x:c>
      <x:c r="H266" s="60" t="n">
        <x:v>0.060345195</x:v>
      </x:c>
      <x:c r="I266" s="60" t="n">
        <x:v>28.905035</x:v>
      </x:c>
      <x:c r="J266" s="56" t="n">
        <x:v>0</x:v>
      </x:c>
      <x:c r="K266" s="56" t="n">
        <x:v>0</x:v>
      </x:c>
      <x:c r="L266" s="53" t="str">
        <x:v>COMPLETE</x:v>
      </x:c>
    </x:row>
    <x:row r="267">
      <x:c r="A267" s="42" t="str">
        <x:v>GSE8121</x:v>
      </x:c>
      <x:c r="B267" s="43" t="str">
        <x:v>SIG033</x:v>
      </x:c>
      <x:c r="C267" s="43" t="str">
        <x:v>ADRB2</x:v>
      </x:c>
      <x:c r="D267" s="55" t="n">
        <x:v>1</x:v>
      </x:c>
      <x:c r="E267" s="43" t="str">
        <x:v>ADRB2</x:v>
      </x:c>
      <x:c r="F267" s="43" t="str">
        <x:v>ADRB2</x:v>
      </x:c>
      <x:c r="G267" s="43" t="str">
        <x:v>NO</x:v>
      </x:c>
      <x:c r="H267" s="59" t="n">
        <x:v>0.1728071</x:v>
      </x:c>
      <x:c r="I267" s="59" t="n">
        <x:v>1.5439628</x:v>
      </x:c>
      <x:c r="J267" s="55" t="n">
        <x:v>0</x:v>
      </x:c>
      <x:c r="K267" s="55" t="n">
        <x:v>0</x:v>
      </x:c>
      <x:c r="L267" s="44" t="str">
        <x:v>COMPLETE</x:v>
      </x:c>
    </x:row>
    <x:row r="268">
      <x:c r="A268" s="51" t="str">
        <x:v>GSE8121</x:v>
      </x:c>
      <x:c r="B268" s="52" t="str">
        <x:v>SIG033</x:v>
      </x:c>
      <x:c r="C268" s="52" t="str">
        <x:v>CTSG</x:v>
      </x:c>
      <x:c r="D268" s="56" t="n">
        <x:v>1</x:v>
      </x:c>
      <x:c r="E268" s="52" t="str">
        <x:v>CTSG</x:v>
      </x:c>
      <x:c r="F268" s="52" t="str">
        <x:v>CTSG</x:v>
      </x:c>
      <x:c r="G268" s="52" t="str">
        <x:v>NO</x:v>
      </x:c>
      <x:c r="H268" s="60" t="n">
        <x:v>0.66580963</x:v>
      </x:c>
      <x:c r="I268" s="60" t="n">
        <x:v>149.32611</x:v>
      </x:c>
      <x:c r="J268" s="56" t="n">
        <x:v>0</x:v>
      </x:c>
      <x:c r="K268" s="56" t="n">
        <x:v>0</x:v>
      </x:c>
      <x:c r="L268" s="53" t="str">
        <x:v>COMPLETE</x:v>
      </x:c>
    </x:row>
    <x:row r="269">
      <x:c r="A269" s="42" t="str">
        <x:v>GSE8121</x:v>
      </x:c>
      <x:c r="B269" s="43" t="str">
        <x:v>SIG033</x:v>
      </x:c>
      <x:c r="C269" s="43" t="str">
        <x:v>CX3CR1</x:v>
      </x:c>
      <x:c r="D269" s="55" t="n">
        <x:v>2</x:v>
      </x:c>
      <x:c r="E269" s="43" t="str">
        <x:v>CX3CR1</x:v>
      </x:c>
      <x:c r="F269" s="43" t="str">
        <x:v>CX3CR1</x:v>
      </x:c>
      <x:c r="G269" s="43" t="str">
        <x:v>NO</x:v>
      </x:c>
      <x:c r="H269" s="59" t="n">
        <x:v>0.115173843</x:v>
      </x:c>
      <x:c r="I269" s="59" t="n">
        <x:v>2.2541798</x:v>
      </x:c>
      <x:c r="J269" s="55" t="n">
        <x:v>0</x:v>
      </x:c>
      <x:c r="K269" s="55" t="n">
        <x:v>0</x:v>
      </x:c>
      <x:c r="L269" s="44" t="str">
        <x:v>COMPLETE</x:v>
      </x:c>
    </x:row>
    <x:row r="270">
      <x:c r="A270" s="51" t="str">
        <x:v>GSE8121</x:v>
      </x:c>
      <x:c r="B270" s="52" t="str">
        <x:v>SIG033</x:v>
      </x:c>
      <x:c r="C270" s="52" t="str">
        <x:v>CXCR6</x:v>
      </x:c>
      <x:c r="D270" s="56" t="n">
        <x:v>2</x:v>
      </x:c>
      <x:c r="E270" s="52" t="str">
        <x:v>CXCR6</x:v>
      </x:c>
      <x:c r="F270" s="52" t="str">
        <x:v>CXCR6</x:v>
      </x:c>
      <x:c r="G270" s="52" t="str">
        <x:v>NO</x:v>
      </x:c>
      <x:c r="H270" s="60" t="n">
        <x:v>0.47924519</x:v>
      </x:c>
      <x:c r="I270" s="60" t="n">
        <x:v>2.47106625</x:v>
      </x:c>
      <x:c r="J270" s="56" t="n">
        <x:v>0</x:v>
      </x:c>
      <x:c r="K270" s="56" t="n">
        <x:v>0</x:v>
      </x:c>
      <x:c r="L270" s="53" t="str">
        <x:v>COMPLETE</x:v>
      </x:c>
    </x:row>
    <x:row r="271">
      <x:c r="A271" s="42" t="str">
        <x:v>GSE8121</x:v>
      </x:c>
      <x:c r="B271" s="43" t="str">
        <x:v>SIG033</x:v>
      </x:c>
      <x:c r="C271" s="43" t="str">
        <x:v>IL4R</x:v>
      </x:c>
      <x:c r="D271" s="55" t="n">
        <x:v>1</x:v>
      </x:c>
      <x:c r="E271" s="43" t="str">
        <x:v>IL4R</x:v>
      </x:c>
      <x:c r="F271" s="43" t="str">
        <x:v>IL4R</x:v>
      </x:c>
      <x:c r="G271" s="43" t="str">
        <x:v>NO</x:v>
      </x:c>
      <x:c r="H271" s="59" t="n">
        <x:v>0.4519699</x:v>
      </x:c>
      <x:c r="I271" s="59" t="n">
        <x:v>3.8572738</x:v>
      </x:c>
      <x:c r="J271" s="55" t="n">
        <x:v>0</x:v>
      </x:c>
      <x:c r="K271" s="55" t="n">
        <x:v>0</x:v>
      </x:c>
      <x:c r="L271" s="44" t="str">
        <x:v>COMPLETE</x:v>
      </x:c>
    </x:row>
    <x:row r="272">
      <x:c r="A272" s="51" t="str">
        <x:v>GSE8121</x:v>
      </x:c>
      <x:c r="B272" s="52" t="str">
        <x:v>SIG033</x:v>
      </x:c>
      <x:c r="C272" s="52" t="str">
        <x:v>LTB</x:v>
      </x:c>
      <x:c r="D272" s="56" t="n">
        <x:v>2</x:v>
      </x:c>
      <x:c r="E272" s="52" t="str">
        <x:v>LTB</x:v>
      </x:c>
      <x:c r="F272" s="52" t="str">
        <x:v>LTB</x:v>
      </x:c>
      <x:c r="G272" s="52" t="str">
        <x:v>NO</x:v>
      </x:c>
      <x:c r="H272" s="60" t="n">
        <x:v>0.50859772</x:v>
      </x:c>
      <x:c r="I272" s="60" t="n">
        <x:v>1.4505867</x:v>
      </x:c>
      <x:c r="J272" s="56" t="n">
        <x:v>0</x:v>
      </x:c>
      <x:c r="K272" s="56" t="n">
        <x:v>0</x:v>
      </x:c>
      <x:c r="L272" s="53" t="str">
        <x:v>COMPLETE</x:v>
      </x:c>
    </x:row>
    <x:row r="273">
      <x:c r="A273" s="42" t="str">
        <x:v>GSE8121</x:v>
      </x:c>
      <x:c r="B273" s="43" t="str">
        <x:v>SIG033</x:v>
      </x:c>
      <x:c r="C273" s="43" t="str">
        <x:v>TMSB10</x:v>
      </x:c>
      <x:c r="D273" s="55" t="n">
        <x:v>1</x:v>
      </x:c>
      <x:c r="E273" s="43" t="str">
        <x:v>TMSB10</x:v>
      </x:c>
      <x:c r="F273" s="43" t="str">
        <x:v>TMSB10</x:v>
      </x:c>
      <x:c r="G273" s="43" t="str">
        <x:v>NO</x:v>
      </x:c>
      <x:c r="H273" s="59" t="n">
        <x:v>0.093458205</x:v>
      </x:c>
      <x:c r="I273" s="59" t="n">
        <x:v>1.5850095</x:v>
      </x:c>
      <x:c r="J273" s="55" t="n">
        <x:v>0</x:v>
      </x:c>
      <x:c r="K273" s="55" t="n">
        <x:v>0</x:v>
      </x:c>
      <x:c r="L273" s="44" t="str">
        <x:v>COMPLETE</x:v>
      </x:c>
    </x:row>
    <x:row r="274">
      <x:c r="A274" s="51" t="str">
        <x:v>GSE8121</x:v>
      </x:c>
      <x:c r="B274" s="52" t="str">
        <x:v>SIG034</x:v>
      </x:c>
      <x:c r="C274" s="52" t="str">
        <x:v>NQO2</x:v>
      </x:c>
      <x:c r="D274" s="56" t="n">
        <x:v>2</x:v>
      </x:c>
      <x:c r="E274" s="52" t="str">
        <x:v>NQO2</x:v>
      </x:c>
      <x:c r="F274" s="52" t="str">
        <x:v>NQO2</x:v>
      </x:c>
      <x:c r="G274" s="52" t="str">
        <x:v>NO</x:v>
      </x:c>
      <x:c r="H274" s="60" t="n">
        <x:v>0.6726069</x:v>
      </x:c>
      <x:c r="I274" s="60" t="n">
        <x:v>7.368491000000001</x:v>
      </x:c>
      <x:c r="J274" s="56" t="n">
        <x:v>0</x:v>
      </x:c>
      <x:c r="K274" s="56" t="n">
        <x:v>0</x:v>
      </x:c>
      <x:c r="L274" s="53" t="str">
        <x:v>COMPLETE</x:v>
      </x:c>
    </x:row>
    <x:row r="275">
      <x:c r="A275" s="42" t="str">
        <x:v>GSE8121</x:v>
      </x:c>
      <x:c r="B275" s="43" t="str">
        <x:v>SIG034</x:v>
      </x:c>
      <x:c r="C275" s="43" t="str">
        <x:v>SLPI</x:v>
      </x:c>
      <x:c r="D275" s="55" t="n">
        <x:v>1</x:v>
      </x:c>
      <x:c r="E275" s="43" t="str">
        <x:v>SLPI</x:v>
      </x:c>
      <x:c r="F275" s="43" t="str">
        <x:v>SLPI</x:v>
      </x:c>
      <x:c r="G275" s="43" t="str">
        <x:v>NO</x:v>
      </x:c>
      <x:c r="H275" s="59" t="n">
        <x:v>0.5103106</x:v>
      </x:c>
      <x:c r="I275" s="59" t="n">
        <x:v>26.67697</x:v>
      </x:c>
      <x:c r="J275" s="55" t="n">
        <x:v>0</x:v>
      </x:c>
      <x:c r="K275" s="55" t="n">
        <x:v>0</x:v>
      </x:c>
      <x:c r="L275" s="44" t="str">
        <x:v>COMPLETE</x:v>
      </x:c>
    </x:row>
    <x:row r="276">
      <x:c r="A276" s="51" t="str">
        <x:v>GSE8121</x:v>
      </x:c>
      <x:c r="B276" s="52" t="str">
        <x:v>SIG034</x:v>
      </x:c>
      <x:c r="C276" s="52" t="str">
        <x:v>ORM1</x:v>
      </x:c>
      <x:c r="D276" s="56" t="n">
        <x:v>3</x:v>
      </x:c>
      <x:c r="E276" s="52" t="str">
        <x:v>ORM1; ORM2///ORM1</x:v>
      </x:c>
      <x:c r="F276" s="52" t="str">
        <x:v>ORM1</x:v>
      </x:c>
      <x:c r="G276" s="52" t="str">
        <x:v>YES</x:v>
      </x:c>
      <x:c r="H276" s="60" t="n">
        <x:v>0.8191253466666666</x:v>
      </x:c>
      <x:c r="I276" s="60" t="n">
        <x:v>43.53460956666667</x:v>
      </x:c>
      <x:c r="J276" s="56" t="n">
        <x:v>0</x:v>
      </x:c>
      <x:c r="K276" s="56" t="n">
        <x:v>0</x:v>
      </x:c>
      <x:c r="L276" s="53" t="str">
        <x:v>COMPLETE</x:v>
      </x:c>
    </x:row>
    <x:row r="277">
      <x:c r="A277" s="42" t="str">
        <x:v>GSE8121</x:v>
      </x:c>
      <x:c r="B277" s="43" t="str">
        <x:v>SIG034</x:v>
      </x:c>
      <x:c r="C277" s="43" t="str">
        <x:v>KLHL2</x:v>
      </x:c>
      <x:c r="D277" s="55" t="n">
        <x:v>1</x:v>
      </x:c>
      <x:c r="E277" s="43" t="str">
        <x:v>KLHL2</x:v>
      </x:c>
      <x:c r="F277" s="43" t="str">
        <x:v>KLHL2</x:v>
      </x:c>
      <x:c r="G277" s="43" t="str">
        <x:v>NO</x:v>
      </x:c>
      <x:c r="H277" s="59" t="n">
        <x:v>0.18404074</x:v>
      </x:c>
      <x:c r="I277" s="59" t="n">
        <x:v>6.3286734</x:v>
      </x:c>
      <x:c r="J277" s="55" t="n">
        <x:v>0</x:v>
      </x:c>
      <x:c r="K277" s="55" t="n">
        <x:v>0</x:v>
      </x:c>
      <x:c r="L277" s="44" t="str">
        <x:v>COMPLETE</x:v>
      </x:c>
    </x:row>
    <x:row r="278">
      <x:c r="A278" s="51" t="str">
        <x:v>GSE8121</x:v>
      </x:c>
      <x:c r="B278" s="52" t="str">
        <x:v>SIG034</x:v>
      </x:c>
      <x:c r="C278" s="52" t="str">
        <x:v>ANXA3</x:v>
      </x:c>
      <x:c r="D278" s="56" t="n">
        <x:v>1</x:v>
      </x:c>
      <x:c r="E278" s="52" t="str">
        <x:v>ANXA3</x:v>
      </x:c>
      <x:c r="F278" s="52" t="str">
        <x:v>ANXA3</x:v>
      </x:c>
      <x:c r="G278" s="52" t="str">
        <x:v>NO</x:v>
      </x:c>
      <x:c r="H278" s="60" t="n">
        <x:v>0.3291605</x:v>
      </x:c>
      <x:c r="I278" s="60" t="n">
        <x:v>75.586975</x:v>
      </x:c>
      <x:c r="J278" s="56" t="n">
        <x:v>0</x:v>
      </x:c>
      <x:c r="K278" s="56" t="n">
        <x:v>0</x:v>
      </x:c>
      <x:c r="L278" s="53" t="str">
        <x:v>COMPLETE</x:v>
      </x:c>
    </x:row>
    <x:row r="279">
      <x:c r="A279" s="42" t="str">
        <x:v>GSE8121</x:v>
      </x:c>
      <x:c r="B279" s="43" t="str">
        <x:v>SIG034</x:v>
      </x:c>
      <x:c r="C279" s="43" t="str">
        <x:v>TXN</x:v>
      </x:c>
      <x:c r="D279" s="55" t="n">
        <x:v>2</x:v>
      </x:c>
      <x:c r="E279" s="43" t="str">
        <x:v>TXN</x:v>
      </x:c>
      <x:c r="F279" s="43" t="str">
        <x:v>TXN</x:v>
      </x:c>
      <x:c r="G279" s="43" t="str">
        <x:v>NO</x:v>
      </x:c>
      <x:c r="H279" s="59" t="n">
        <x:v>0.32105523</x:v>
      </x:c>
      <x:c r="I279" s="59" t="n">
        <x:v>7.4182923</x:v>
      </x:c>
      <x:c r="J279" s="55" t="n">
        <x:v>0</x:v>
      </x:c>
      <x:c r="K279" s="55" t="n">
        <x:v>0</x:v>
      </x:c>
      <x:c r="L279" s="44" t="str">
        <x:v>COMPLETE</x:v>
      </x:c>
    </x:row>
    <x:row r="280">
      <x:c r="A280" s="51" t="str">
        <x:v>GSE8121</x:v>
      </x:c>
      <x:c r="B280" s="52" t="str">
        <x:v>SIG034</x:v>
      </x:c>
      <x:c r="C280" s="52" t="str">
        <x:v>AQP9</x:v>
      </x:c>
      <x:c r="D280" s="56" t="n">
        <x:v>1</x:v>
      </x:c>
      <x:c r="E280" s="52" t="str">
        <x:v>AQP9</x:v>
      </x:c>
      <x:c r="F280" s="52" t="str">
        <x:v>AQP9</x:v>
      </x:c>
      <x:c r="G280" s="52" t="str">
        <x:v>NO</x:v>
      </x:c>
      <x:c r="H280" s="60" t="n">
        <x:v>0.24278232</x:v>
      </x:c>
      <x:c r="I280" s="60" t="n">
        <x:v>4.7005796</x:v>
      </x:c>
      <x:c r="J280" s="56" t="n">
        <x:v>0</x:v>
      </x:c>
      <x:c r="K280" s="56" t="n">
        <x:v>0</x:v>
      </x:c>
      <x:c r="L280" s="53" t="str">
        <x:v>COMPLETE</x:v>
      </x:c>
    </x:row>
    <x:row r="281">
      <x:c r="A281" s="42" t="str">
        <x:v>GSE8121</x:v>
      </x:c>
      <x:c r="B281" s="43" t="str">
        <x:v>SIG034</x:v>
      </x:c>
      <x:c r="C281" s="43" t="str">
        <x:v>BCL6</x:v>
      </x:c>
      <x:c r="D281" s="55" t="n">
        <x:v>3</x:v>
      </x:c>
      <x:c r="E281" s="43" t="str">
        <x:v>BCL6</x:v>
      </x:c>
      <x:c r="F281" s="43" t="str">
        <x:v>BCL6</x:v>
      </x:c>
      <x:c r="G281" s="43" t="str">
        <x:v>NO</x:v>
      </x:c>
      <x:c r="H281" s="59" t="n">
        <x:v>0.25685826</x:v>
      </x:c>
      <x:c r="I281" s="59" t="n">
        <x:v>7.930162499999999</x:v>
      </x:c>
      <x:c r="J281" s="55" t="n">
        <x:v>0</x:v>
      </x:c>
      <x:c r="K281" s="55" t="n">
        <x:v>0</x:v>
      </x:c>
      <x:c r="L281" s="44" t="str">
        <x:v>COMPLETE</x:v>
      </x:c>
    </x:row>
    <x:row r="282">
      <x:c r="A282" s="51" t="str">
        <x:v>GSE8121</x:v>
      </x:c>
      <x:c r="B282" s="52" t="str">
        <x:v>SIG034</x:v>
      </x:c>
      <x:c r="C282" s="52" t="str">
        <x:v>DOK3</x:v>
      </x:c>
      <x:c r="D282" s="56" t="n">
        <x:v>2</x:v>
      </x:c>
      <x:c r="E282" s="52" t="str">
        <x:v>DOK3</x:v>
      </x:c>
      <x:c r="F282" s="52" t="str">
        <x:v>DOK3</x:v>
      </x:c>
      <x:c r="G282" s="52" t="str">
        <x:v>NO</x:v>
      </x:c>
      <x:c r="H282" s="60" t="n">
        <x:v>0.73452992</x:v>
      </x:c>
      <x:c r="I282" s="60" t="n">
        <x:v>5.13314185</x:v>
      </x:c>
      <x:c r="J282" s="56" t="n">
        <x:v>0</x:v>
      </x:c>
      <x:c r="K282" s="56" t="n">
        <x:v>0</x:v>
      </x:c>
      <x:c r="L282" s="53" t="str">
        <x:v>COMPLETE</x:v>
      </x:c>
    </x:row>
    <x:row r="283">
      <x:c r="A283" s="42" t="str">
        <x:v>GSE8121</x:v>
      </x:c>
      <x:c r="B283" s="43" t="str">
        <x:v>SIG034</x:v>
      </x:c>
      <x:c r="C283" s="43" t="str">
        <x:v>PFKFB4</x:v>
      </x:c>
      <x:c r="D283" s="55" t="n">
        <x:v>2</x:v>
      </x:c>
      <x:c r="E283" s="43" t="str">
        <x:v>PFKFB4</x:v>
      </x:c>
      <x:c r="F283" s="43" t="str">
        <x:v>PFKFB4</x:v>
      </x:c>
      <x:c r="G283" s="43" t="str">
        <x:v>NO</x:v>
      </x:c>
      <x:c r="H283" s="59" t="n">
        <x:v>0.7126456999999999</x:v>
      </x:c>
      <x:c r="I283" s="59" t="n">
        <x:v>2.88116145</x:v>
      </x:c>
      <x:c r="J283" s="55" t="n">
        <x:v>0</x:v>
      </x:c>
      <x:c r="K283" s="55" t="n">
        <x:v>0</x:v>
      </x:c>
      <x:c r="L283" s="44" t="str">
        <x:v>COMPLETE</x:v>
      </x:c>
    </x:row>
    <x:row r="284">
      <x:c r="A284" s="51" t="str">
        <x:v>GSE8121</x:v>
      </x:c>
      <x:c r="B284" s="52" t="str">
        <x:v>SIG034</x:v>
      </x:c>
      <x:c r="C284" s="52" t="str">
        <x:v>TYK2</x:v>
      </x:c>
      <x:c r="D284" s="56" t="n">
        <x:v>1</x:v>
      </x:c>
      <x:c r="E284" s="52" t="str">
        <x:v>TYK2</x:v>
      </x:c>
      <x:c r="F284" s="52" t="str">
        <x:v>TYK2</x:v>
      </x:c>
      <x:c r="G284" s="52" t="str">
        <x:v>NO</x:v>
      </x:c>
      <x:c r="H284" s="60" t="n">
        <x:v>0.4144215</x:v>
      </x:c>
      <x:c r="I284" s="60" t="n">
        <x:v>2.1143403</x:v>
      </x:c>
      <x:c r="J284" s="56" t="n">
        <x:v>0</x:v>
      </x:c>
      <x:c r="K284" s="56" t="n">
        <x:v>0</x:v>
      </x:c>
      <x:c r="L284" s="53" t="str">
        <x:v>COMPLETE</x:v>
      </x:c>
    </x:row>
    <x:row r="285">
      <x:c r="A285" s="42" t="str">
        <x:v>GSE8121</x:v>
      </x:c>
      <x:c r="B285" s="43" t="str">
        <x:v>SIG034</x:v>
      </x:c>
      <x:c r="C285" s="43" t="str">
        <x:v>BCL2L11</x:v>
      </x:c>
      <x:c r="D285" s="55" t="n">
        <x:v>7</x:v>
      </x:c>
      <x:c r="E285" s="43" t="str">
        <x:v>BCL2L11</x:v>
      </x:c>
      <x:c r="F285" s="43" t="str">
        <x:v>BCL2L11</x:v>
      </x:c>
      <x:c r="G285" s="43" t="str">
        <x:v>NO</x:v>
      </x:c>
      <x:c r="H285" s="59" t="n">
        <x:v>0.8702201800000001</x:v>
      </x:c>
      <x:c r="I285" s="59" t="n">
        <x:v>3.337429342857143</x:v>
      </x:c>
      <x:c r="J285" s="55" t="n">
        <x:v>0</x:v>
      </x:c>
      <x:c r="K285" s="55" t="n">
        <x:v>0</x:v>
      </x:c>
      <x:c r="L285" s="44" t="str">
        <x:v>COMPLETE</x:v>
      </x:c>
    </x:row>
    <x:row r="286">
      <x:c r="A286" s="51" t="str">
        <x:v>GSE8121</x:v>
      </x:c>
      <x:c r="B286" s="52" t="str">
        <x:v>SIG034</x:v>
      </x:c>
      <x:c r="C286" s="52" t="str">
        <x:v>BCAT1</x:v>
      </x:c>
      <x:c r="D286" s="56" t="n">
        <x:v>4</x:v>
      </x:c>
      <x:c r="E286" s="52" t="str">
        <x:v>BCAT1</x:v>
      </x:c>
      <x:c r="F286" s="52" t="str">
        <x:v>BCAT1</x:v>
      </x:c>
      <x:c r="G286" s="52" t="str">
        <x:v>NO</x:v>
      </x:c>
      <x:c r="H286" s="60" t="n">
        <x:v>0.6954371325</x:v>
      </x:c>
      <x:c r="I286" s="60" t="n">
        <x:v>10.5589274</x:v>
      </x:c>
      <x:c r="J286" s="56" t="n">
        <x:v>0</x:v>
      </x:c>
      <x:c r="K286" s="56" t="n">
        <x:v>0</x:v>
      </x:c>
      <x:c r="L286" s="53" t="str">
        <x:v>COMPLETE</x:v>
      </x:c>
    </x:row>
    <x:row r="287">
      <x:c r="A287" s="42" t="str">
        <x:v>GSE8121</x:v>
      </x:c>
      <x:c r="B287" s="43" t="str">
        <x:v>SIG034</x:v>
      </x:c>
      <x:c r="C287" s="43" t="str">
        <x:v>BTBD7</x:v>
      </x:c>
      <x:c r="D287" s="55" t="n">
        <x:v>5</x:v>
      </x:c>
      <x:c r="E287" s="43" t="str">
        <x:v>BTBD7</x:v>
      </x:c>
      <x:c r="F287" s="43" t="str">
        <x:v>BTBD7</x:v>
      </x:c>
      <x:c r="G287" s="43" t="str">
        <x:v>NO</x:v>
      </x:c>
      <x:c r="H287" s="59" t="n">
        <x:v>0.539443206</x:v>
      </x:c>
      <x:c r="I287" s="59" t="n">
        <x:v>1.933378492</x:v>
      </x:c>
      <x:c r="J287" s="55" t="n">
        <x:v>0</x:v>
      </x:c>
      <x:c r="K287" s="55" t="n">
        <x:v>0</x:v>
      </x:c>
      <x:c r="L287" s="44" t="str">
        <x:v>COMPLETE</x:v>
      </x:c>
    </x:row>
    <x:row r="288">
      <x:c r="A288" s="51" t="str">
        <x:v>GSE8121</x:v>
      </x:c>
      <x:c r="B288" s="52" t="str">
        <x:v>SIG034</x:v>
      </x:c>
      <x:c r="C288" s="52" t="str">
        <x:v>CEP55</x:v>
      </x:c>
      <x:c r="D288" s="56" t="n">
        <x:v>1</x:v>
      </x:c>
      <x:c r="E288" s="52" t="str">
        <x:v>CEP55</x:v>
      </x:c>
      <x:c r="F288" s="52" t="str">
        <x:v>CEP55</x:v>
      </x:c>
      <x:c r="G288" s="52" t="str">
        <x:v>NO</x:v>
      </x:c>
      <x:c r="H288" s="60" t="n">
        <x:v>0.57203084</x:v>
      </x:c>
      <x:c r="I288" s="60" t="n">
        <x:v>20.36422</x:v>
      </x:c>
      <x:c r="J288" s="56" t="n">
        <x:v>0</x:v>
      </x:c>
      <x:c r="K288" s="56" t="n">
        <x:v>0</x:v>
      </x:c>
      <x:c r="L288" s="53" t="str">
        <x:v>COMPLETE</x:v>
      </x:c>
    </x:row>
    <x:row r="289">
      <x:c r="A289" s="42" t="str">
        <x:v>GSE8121</x:v>
      </x:c>
      <x:c r="B289" s="43" t="str">
        <x:v>SIG034</x:v>
      </x:c>
      <x:c r="C289" s="43" t="str">
        <x:v>HMMR</x:v>
      </x:c>
      <x:c r="D289" s="55" t="n">
        <x:v>2</x:v>
      </x:c>
      <x:c r="E289" s="43" t="str">
        <x:v>HMMR</x:v>
      </x:c>
      <x:c r="F289" s="43" t="str">
        <x:v>HMMR</x:v>
      </x:c>
      <x:c r="G289" s="43" t="str">
        <x:v>NO</x:v>
      </x:c>
      <x:c r="H289" s="59" t="n">
        <x:v>0.61442758</x:v>
      </x:c>
      <x:c r="I289" s="59" t="n">
        <x:v>13.9493055</x:v>
      </x:c>
      <x:c r="J289" s="55" t="n">
        <x:v>0</x:v>
      </x:c>
      <x:c r="K289" s="55" t="n">
        <x:v>0</x:v>
      </x:c>
      <x:c r="L289" s="44" t="str">
        <x:v>COMPLETE</x:v>
      </x:c>
    </x:row>
    <x:row r="290">
      <x:c r="A290" s="51" t="str">
        <x:v>GSE8121</x:v>
      </x:c>
      <x:c r="B290" s="52" t="str">
        <x:v>SIG034</x:v>
      </x:c>
      <x:c r="C290" s="52" t="str">
        <x:v>PRC1</x:v>
      </x:c>
      <x:c r="D290" s="56" t="n">
        <x:v>1</x:v>
      </x:c>
      <x:c r="E290" s="52" t="str">
        <x:v>PRC1</x:v>
      </x:c>
      <x:c r="F290" s="52" t="str">
        <x:v>PRC1</x:v>
      </x:c>
      <x:c r="G290" s="52" t="str">
        <x:v>NO</x:v>
      </x:c>
      <x:c r="H290" s="60" t="n">
        <x:v>0.57699716</x:v>
      </x:c>
      <x:c r="I290" s="60" t="n">
        <x:v>13.464437</x:v>
      </x:c>
      <x:c r="J290" s="56" t="n">
        <x:v>0</x:v>
      </x:c>
      <x:c r="K290" s="56" t="n">
        <x:v>0</x:v>
      </x:c>
      <x:c r="L290" s="53" t="str">
        <x:v>COMPLETE</x:v>
      </x:c>
    </x:row>
    <x:row r="291">
      <x:c r="A291" s="42" t="str">
        <x:v>GSE8121</x:v>
      </x:c>
      <x:c r="B291" s="43" t="str">
        <x:v>SIG034</x:v>
      </x:c>
      <x:c r="C291" s="43" t="str">
        <x:v>KIF15</x:v>
      </x:c>
      <x:c r="D291" s="55" t="n">
        <x:v>1</x:v>
      </x:c>
      <x:c r="E291" s="43" t="str">
        <x:v>KIF15</x:v>
      </x:c>
      <x:c r="F291" s="43" t="str">
        <x:v>KIF15</x:v>
      </x:c>
      <x:c r="G291" s="43" t="str">
        <x:v>NO</x:v>
      </x:c>
      <x:c r="H291" s="59" t="n">
        <x:v>0.76329905</x:v>
      </x:c>
      <x:c r="I291" s="59" t="n">
        <x:v>7.34946</x:v>
      </x:c>
      <x:c r="J291" s="55" t="n">
        <x:v>0</x:v>
      </x:c>
      <x:c r="K291" s="55" t="n">
        <x:v>0</x:v>
      </x:c>
      <x:c r="L291" s="44" t="str">
        <x:v>COMPLETE</x:v>
      </x:c>
    </x:row>
    <x:row r="292">
      <x:c r="A292" s="51" t="str">
        <x:v>GSE8121</x:v>
      </x:c>
      <x:c r="B292" s="52" t="str">
        <x:v>SIG034</x:v>
      </x:c>
      <x:c r="C292" s="52" t="str">
        <x:v>CAMP</x:v>
      </x:c>
      <x:c r="D292" s="56" t="n">
        <x:v>1</x:v>
      </x:c>
      <x:c r="E292" s="52" t="str">
        <x:v>CAMP</x:v>
      </x:c>
      <x:c r="F292" s="52" t="str">
        <x:v>CAMP</x:v>
      </x:c>
      <x:c r="G292" s="52" t="str">
        <x:v>NO</x:v>
      </x:c>
      <x:c r="H292" s="60" t="n">
        <x:v>0.627</x:v>
      </x:c>
      <x:c r="I292" s="60" t="n">
        <x:v>21.937431</x:v>
      </x:c>
      <x:c r="J292" s="56" t="n">
        <x:v>0</x:v>
      </x:c>
      <x:c r="K292" s="56" t="n">
        <x:v>0</x:v>
      </x:c>
      <x:c r="L292" s="53" t="str">
        <x:v>COMPLETE</x:v>
      </x:c>
    </x:row>
    <x:row r="293">
      <x:c r="A293" s="42" t="str">
        <x:v>GSE8121</x:v>
      </x:c>
      <x:c r="B293" s="43" t="str">
        <x:v>SIG034</x:v>
      </x:c>
      <x:c r="C293" s="43" t="str">
        <x:v>CEACAM8</x:v>
      </x:c>
      <x:c r="D293" s="55" t="n">
        <x:v>1</x:v>
      </x:c>
      <x:c r="E293" s="43" t="str">
        <x:v>CEACAM8</x:v>
      </x:c>
      <x:c r="F293" s="43" t="str">
        <x:v>CEACAM8</x:v>
      </x:c>
      <x:c r="G293" s="43" t="str">
        <x:v>NO</x:v>
      </x:c>
      <x:c r="H293" s="59" t="n">
        <x:v>0.5914388</x:v>
      </x:c>
      <x:c r="I293" s="59" t="n">
        <x:v>250.78769</x:v>
      </x:c>
      <x:c r="J293" s="55" t="n">
        <x:v>0</x:v>
      </x:c>
      <x:c r="K293" s="55" t="n">
        <x:v>0</x:v>
      </x:c>
      <x:c r="L293" s="44" t="str">
        <x:v>COMPLETE</x:v>
      </x:c>
    </x:row>
    <x:row r="294">
      <x:c r="A294" s="51" t="str">
        <x:v>GSE8121</x:v>
      </x:c>
      <x:c r="B294" s="52" t="str">
        <x:v>SIG034</x:v>
      </x:c>
      <x:c r="C294" s="52" t="str">
        <x:v>DEFA4</x:v>
      </x:c>
      <x:c r="D294" s="56" t="n">
        <x:v>1</x:v>
      </x:c>
      <x:c r="E294" s="52" t="str">
        <x:v>DEFA4</x:v>
      </x:c>
      <x:c r="F294" s="52" t="str">
        <x:v>DEFA4</x:v>
      </x:c>
      <x:c r="G294" s="52" t="str">
        <x:v>NO</x:v>
      </x:c>
      <x:c r="H294" s="60" t="n">
        <x:v>0.4038676</x:v>
      </x:c>
      <x:c r="I294" s="60" t="n">
        <x:v>129.75026</x:v>
      </x:c>
      <x:c r="J294" s="56" t="n">
        <x:v>0</x:v>
      </x:c>
      <x:c r="K294" s="56" t="n">
        <x:v>0</x:v>
      </x:c>
      <x:c r="L294" s="53" t="str">
        <x:v>COMPLETE</x:v>
      </x:c>
    </x:row>
    <x:row r="295">
      <x:c r="A295" s="42" t="str">
        <x:v>GSE8121</x:v>
      </x:c>
      <x:c r="B295" s="43" t="str">
        <x:v>SIG034</x:v>
      </x:c>
      <x:c r="C295" s="43" t="str">
        <x:v>LCN2</x:v>
      </x:c>
      <x:c r="D295" s="55" t="n">
        <x:v>1</x:v>
      </x:c>
      <x:c r="E295" s="43" t="str">
        <x:v>LCN2</x:v>
      </x:c>
      <x:c r="F295" s="43" t="str">
        <x:v>LCN2</x:v>
      </x:c>
      <x:c r="G295" s="43" t="str">
        <x:v>NO</x:v>
      </x:c>
      <x:c r="H295" s="59" t="n">
        <x:v>0.4923271</x:v>
      </x:c>
      <x:c r="I295" s="59" t="n">
        <x:v>179.26825</x:v>
      </x:c>
      <x:c r="J295" s="55" t="n">
        <x:v>0</x:v>
      </x:c>
      <x:c r="K295" s="55" t="n">
        <x:v>0</x:v>
      </x:c>
      <x:c r="L295" s="44" t="str">
        <x:v>COMPLETE</x:v>
      </x:c>
    </x:row>
    <x:row r="296">
      <x:c r="A296" s="51" t="str">
        <x:v>GSE8121</x:v>
      </x:c>
      <x:c r="B296" s="52" t="str">
        <x:v>SIG034</x:v>
      </x:c>
      <x:c r="C296" s="52" t="str">
        <x:v>CTSG</x:v>
      </x:c>
      <x:c r="D296" s="56" t="n">
        <x:v>1</x:v>
      </x:c>
      <x:c r="E296" s="52" t="str">
        <x:v>CTSG</x:v>
      </x:c>
      <x:c r="F296" s="52" t="str">
        <x:v>CTSG</x:v>
      </x:c>
      <x:c r="G296" s="52" t="str">
        <x:v>NO</x:v>
      </x:c>
      <x:c r="H296" s="60" t="n">
        <x:v>0.66580963</x:v>
      </x:c>
      <x:c r="I296" s="60" t="n">
        <x:v>149.32611</x:v>
      </x:c>
      <x:c r="J296" s="56" t="n">
        <x:v>0</x:v>
      </x:c>
      <x:c r="K296" s="56" t="n">
        <x:v>0</x:v>
      </x:c>
      <x:c r="L296" s="53" t="str">
        <x:v>COMPLETE</x:v>
      </x:c>
    </x:row>
    <x:row r="297">
      <x:c r="A297" s="42" t="str">
        <x:v>GSE8121</x:v>
      </x:c>
      <x:c r="B297" s="43" t="str">
        <x:v>SIG034</x:v>
      </x:c>
      <x:c r="C297" s="43" t="str">
        <x:v>AZU1</x:v>
      </x:c>
      <x:c r="D297" s="55" t="n">
        <x:v>1</x:v>
      </x:c>
      <x:c r="E297" s="43" t="str">
        <x:v>AZU1</x:v>
      </x:c>
      <x:c r="F297" s="43" t="str">
        <x:v>AZU1</x:v>
      </x:c>
      <x:c r="G297" s="43" t="str">
        <x:v>NO</x:v>
      </x:c>
      <x:c r="H297" s="59" t="n">
        <x:v>0.7575324</x:v>
      </x:c>
      <x:c r="I297" s="59" t="n">
        <x:v>99.7799</x:v>
      </x:c>
      <x:c r="J297" s="55" t="n">
        <x:v>0</x:v>
      </x:c>
      <x:c r="K297" s="55" t="n">
        <x:v>0</x:v>
      </x:c>
      <x:c r="L297" s="44" t="str">
        <x:v>COMPLETE</x:v>
      </x:c>
    </x:row>
    <x:row r="298">
      <x:c r="A298" s="51" t="str">
        <x:v>GSE8121</x:v>
      </x:c>
      <x:c r="B298" s="52" t="str">
        <x:v>SIG034</x:v>
      </x:c>
      <x:c r="C298" s="52" t="str">
        <x:v>MAFB</x:v>
      </x:c>
      <x:c r="D298" s="56" t="n">
        <x:v>2</x:v>
      </x:c>
      <x:c r="E298" s="52" t="str">
        <x:v>MAFB</x:v>
      </x:c>
      <x:c r="F298" s="52" t="str">
        <x:v>MAFB</x:v>
      </x:c>
      <x:c r="G298" s="52" t="str">
        <x:v>NO</x:v>
      </x:c>
      <x:c r="H298" s="60" t="n">
        <x:v>0.34676212</x:v>
      </x:c>
      <x:c r="I298" s="60" t="n">
        <x:v>6.094250499999999</x:v>
      </x:c>
      <x:c r="J298" s="56" t="n">
        <x:v>0</x:v>
      </x:c>
      <x:c r="K298" s="56" t="n">
        <x:v>0</x:v>
      </x:c>
      <x:c r="L298" s="53" t="str">
        <x:v>COMPLETE</x:v>
      </x:c>
    </x:row>
    <x:row r="299">
      <x:c r="A299" s="42" t="str">
        <x:v>GSE8121</x:v>
      </x:c>
      <x:c r="B299" s="43" t="str">
        <x:v>SIG034</x:v>
      </x:c>
      <x:c r="C299" s="43" t="str">
        <x:v>OASL</x:v>
      </x:c>
      <x:c r="D299" s="55" t="n">
        <x:v>2</x:v>
      </x:c>
      <x:c r="E299" s="43" t="str">
        <x:v>OASL</x:v>
      </x:c>
      <x:c r="F299" s="43" t="str">
        <x:v>OASL</x:v>
      </x:c>
      <x:c r="G299" s="43" t="str">
        <x:v>NO</x:v>
      </x:c>
      <x:c r="H299" s="59" t="n">
        <x:v>0.43149294</x:v>
      </x:c>
      <x:c r="I299" s="59" t="n">
        <x:v>29.1322155</x:v>
      </x:c>
      <x:c r="J299" s="55" t="n">
        <x:v>0</x:v>
      </x:c>
      <x:c r="K299" s="55" t="n">
        <x:v>0</x:v>
      </x:c>
      <x:c r="L299" s="44" t="str">
        <x:v>COMPLETE</x:v>
      </x:c>
    </x:row>
    <x:row r="300">
      <x:c r="A300" s="51" t="str">
        <x:v>GSE8121</x:v>
      </x:c>
      <x:c r="B300" s="52" t="str">
        <x:v>SIG034</x:v>
      </x:c>
      <x:c r="C300" s="52" t="str">
        <x:v>UBE2L6</x:v>
      </x:c>
      <x:c r="D300" s="56" t="n">
        <x:v>1</x:v>
      </x:c>
      <x:c r="E300" s="52" t="str">
        <x:v>UBE2L6</x:v>
      </x:c>
      <x:c r="F300" s="52" t="str">
        <x:v>UBE2L6</x:v>
      </x:c>
      <x:c r="G300" s="52" t="str">
        <x:v>NO</x:v>
      </x:c>
      <x:c r="H300" s="60" t="n">
        <x:v>0.2105926</x:v>
      </x:c>
      <x:c r="I300" s="60" t="n">
        <x:v>7.7384133</x:v>
      </x:c>
      <x:c r="J300" s="56" t="n">
        <x:v>0</x:v>
      </x:c>
      <x:c r="K300" s="56" t="n">
        <x:v>0</x:v>
      </x:c>
      <x:c r="L300" s="53" t="str">
        <x:v>COMPLETE</x:v>
      </x:c>
    </x:row>
    <x:row r="301">
      <x:c r="A301" s="42" t="str">
        <x:v>GSE8121</x:v>
      </x:c>
      <x:c r="B301" s="43" t="str">
        <x:v>SIG034</x:v>
      </x:c>
      <x:c r="C301" s="43" t="str">
        <x:v>VAMP5</x:v>
      </x:c>
      <x:c r="D301" s="55" t="n">
        <x:v>2</x:v>
      </x:c>
      <x:c r="E301" s="43" t="str">
        <x:v>VAMP5</x:v>
      </x:c>
      <x:c r="F301" s="43" t="str">
        <x:v>VAMP5</x:v>
      </x:c>
      <x:c r="G301" s="43" t="str">
        <x:v>NO</x:v>
      </x:c>
      <x:c r="H301" s="59" t="n">
        <x:v>0.765303335</x:v>
      </x:c>
      <x:c r="I301" s="59" t="n">
        <x:v>4.2300397</x:v>
      </x:c>
      <x:c r="J301" s="55" t="n">
        <x:v>0</x:v>
      </x:c>
      <x:c r="K301" s="55" t="n">
        <x:v>0</x:v>
      </x:c>
      <x:c r="L301" s="44" t="str">
        <x:v>COMPLETE</x:v>
      </x:c>
    </x:row>
    <x:row r="302">
      <x:c r="A302" s="51" t="str">
        <x:v>GSE8121</x:v>
      </x:c>
      <x:c r="B302" s="52" t="str">
        <x:v>SIG034</x:v>
      </x:c>
      <x:c r="C302" s="52" t="str">
        <x:v>CCL2</x:v>
      </x:c>
      <x:c r="D302" s="56" t="n">
        <x:v>1</x:v>
      </x:c>
      <x:c r="E302" s="52" t="str">
        <x:v>CCL2</x:v>
      </x:c>
      <x:c r="F302" s="52" t="str">
        <x:v>CCL2</x:v>
      </x:c>
      <x:c r="G302" s="52" t="str">
        <x:v>NO</x:v>
      </x:c>
      <x:c r="H302" s="60" t="n">
        <x:v>0.81268144</x:v>
      </x:c>
      <x:c r="I302" s="60" t="n">
        <x:v>11.991335</x:v>
      </x:c>
      <x:c r="J302" s="56" t="n">
        <x:v>0</x:v>
      </x:c>
      <x:c r="K302" s="56" t="n">
        <x:v>0</x:v>
      </x:c>
      <x:c r="L302" s="53" t="str">
        <x:v>COMPLETE</x:v>
      </x:c>
    </x:row>
    <x:row r="303">
      <x:c r="A303" s="42" t="str">
        <x:v>GSE8121</x:v>
      </x:c>
      <x:c r="B303" s="43" t="str">
        <x:v>SIG034</x:v>
      </x:c>
      <x:c r="C303" s="43" t="str">
        <x:v>NAPA</x:v>
      </x:c>
      <x:c r="D303" s="55" t="n">
        <x:v>2</x:v>
      </x:c>
      <x:c r="E303" s="43" t="str">
        <x:v>NAPA</x:v>
      </x:c>
      <x:c r="F303" s="43" t="str">
        <x:v>NAPA</x:v>
      </x:c>
      <x:c r="G303" s="43" t="str">
        <x:v>NO</x:v>
      </x:c>
      <x:c r="H303" s="59" t="n">
        <x:v>0.7417005999999999</x:v>
      </x:c>
      <x:c r="I303" s="59" t="n">
        <x:v>3.3764547</x:v>
      </x:c>
      <x:c r="J303" s="55" t="n">
        <x:v>0</x:v>
      </x:c>
      <x:c r="K303" s="55" t="n">
        <x:v>0</x:v>
      </x:c>
      <x:c r="L303" s="44" t="str">
        <x:v>COMPLETE</x:v>
      </x:c>
    </x:row>
    <x:row r="304">
      <x:c r="A304" s="51" t="str">
        <x:v>GSE8121</x:v>
      </x:c>
      <x:c r="B304" s="52" t="str">
        <x:v>SIG034</x:v>
      </x:c>
      <x:c r="C304" s="52" t="str">
        <x:v>ATG3</x:v>
      </x:c>
      <x:c r="D304" s="56" t="n">
        <x:v>2</x:v>
      </x:c>
      <x:c r="E304" s="52" t="str">
        <x:v>ATG3</x:v>
      </x:c>
      <x:c r="F304" s="52" t="str">
        <x:v>ATG3</x:v>
      </x:c>
      <x:c r="G304" s="52" t="str">
        <x:v>NO</x:v>
      </x:c>
      <x:c r="H304" s="60" t="n">
        <x:v>0.52711803</x:v>
      </x:c>
      <x:c r="I304" s="60" t="n">
        <x:v>3.0688057000000004</x:v>
      </x:c>
      <x:c r="J304" s="56" t="n">
        <x:v>0</x:v>
      </x:c>
      <x:c r="K304" s="56" t="n">
        <x:v>0</x:v>
      </x:c>
      <x:c r="L304" s="53" t="str">
        <x:v>COMPLETE</x:v>
      </x:c>
    </x:row>
    <x:row r="305">
      <x:c r="A305" s="42" t="str">
        <x:v>GSE8121</x:v>
      </x:c>
      <x:c r="B305" s="43" t="str">
        <x:v>SIG034</x:v>
      </x:c>
      <x:c r="C305" s="43" t="str">
        <x:v>VRK2</x:v>
      </x:c>
      <x:c r="D305" s="55" t="n">
        <x:v>1</x:v>
      </x:c>
      <x:c r="E305" s="43" t="str">
        <x:v>VRK2</x:v>
      </x:c>
      <x:c r="F305" s="43" t="str">
        <x:v>VRK2</x:v>
      </x:c>
      <x:c r="G305" s="43" t="str">
        <x:v>NO</x:v>
      </x:c>
      <x:c r="H305" s="59" t="n">
        <x:v>0.3783579</x:v>
      </x:c>
      <x:c r="I305" s="59" t="n">
        <x:v>3.0442128</x:v>
      </x:c>
      <x:c r="J305" s="55" t="n">
        <x:v>0</x:v>
      </x:c>
      <x:c r="K305" s="55" t="n">
        <x:v>0</x:v>
      </x:c>
      <x:c r="L305" s="44" t="str">
        <x:v>COMPLETE</x:v>
      </x:c>
    </x:row>
    <x:row r="306">
      <x:c r="A306" s="51" t="str">
        <x:v>GSE8121</x:v>
      </x:c>
      <x:c r="B306" s="52" t="str">
        <x:v>SIG034</x:v>
      </x:c>
      <x:c r="C306" s="52" t="str">
        <x:v>TMEM123</x:v>
      </x:c>
      <x:c r="D306" s="56" t="n">
        <x:v>1</x:v>
      </x:c>
      <x:c r="E306" s="52" t="str">
        <x:v>TMEM123</x:v>
      </x:c>
      <x:c r="F306" s="52" t="str">
        <x:v>TMEM123</x:v>
      </x:c>
      <x:c r="G306" s="52" t="str">
        <x:v>NO</x:v>
      </x:c>
      <x:c r="H306" s="60" t="n">
        <x:v>0.06572835</x:v>
      </x:c>
      <x:c r="I306" s="60" t="n">
        <x:v>1.8904724</x:v>
      </x:c>
      <x:c r="J306" s="56" t="n">
        <x:v>0</x:v>
      </x:c>
      <x:c r="K306" s="56" t="n">
        <x:v>0</x:v>
      </x:c>
      <x:c r="L306" s="53" t="str">
        <x:v>COMPLETE</x:v>
      </x:c>
    </x:row>
    <x:row r="307">
      <x:c r="A307" s="42" t="str">
        <x:v>GSE8121</x:v>
      </x:c>
      <x:c r="B307" s="43" t="str">
        <x:v>SIG034</x:v>
      </x:c>
      <x:c r="C307" s="43" t="str">
        <x:v>CASP7</x:v>
      </x:c>
      <x:c r="D307" s="55" t="n">
        <x:v>1</x:v>
      </x:c>
      <x:c r="E307" s="43" t="str">
        <x:v>CASP7</x:v>
      </x:c>
      <x:c r="F307" s="43" t="str">
        <x:v>CASP7</x:v>
      </x:c>
      <x:c r="G307" s="43" t="str">
        <x:v>NO</x:v>
      </x:c>
      <x:c r="H307" s="59" t="n">
        <x:v>0.24328683</x:v>
      </x:c>
      <x:c r="I307" s="59" t="n">
        <x:v>2.9923053</x:v>
      </x:c>
      <x:c r="J307" s="55" t="n">
        <x:v>0</x:v>
      </x:c>
      <x:c r="K307" s="55" t="n">
        <x:v>0</x:v>
      </x:c>
      <x:c r="L307" s="44" t="str">
        <x:v>COMPLETE</x:v>
      </x:c>
    </x:row>
    <x:row r="308">
      <x:c r="A308" s="51" t="str">
        <x:v>GSE8121</x:v>
      </x:c>
      <x:c r="B308" s="52" t="str">
        <x:v>SIG034</x:v>
      </x:c>
      <x:c r="C308" s="52" t="str">
        <x:v>DOK2</x:v>
      </x:c>
      <x:c r="D308" s="56" t="n">
        <x:v>1</x:v>
      </x:c>
      <x:c r="E308" s="52" t="str">
        <x:v>DOK2</x:v>
      </x:c>
      <x:c r="F308" s="52" t="str">
        <x:v>DOK2</x:v>
      </x:c>
      <x:c r="G308" s="52" t="str">
        <x:v>NO</x:v>
      </x:c>
      <x:c r="H308" s="60" t="n">
        <x:v>0.3947592</x:v>
      </x:c>
      <x:c r="I308" s="60" t="n">
        <x:v>1.840664</x:v>
      </x:c>
      <x:c r="J308" s="56" t="n">
        <x:v>0</x:v>
      </x:c>
      <x:c r="K308" s="56" t="n">
        <x:v>0</x:v>
      </x:c>
      <x:c r="L308" s="53" t="str">
        <x:v>COMPLETE</x:v>
      </x:c>
    </x:row>
    <x:row r="309">
      <x:c r="A309" s="42" t="str">
        <x:v>GSE8121</x:v>
      </x:c>
      <x:c r="B309" s="43" t="str">
        <x:v>SIG034</x:v>
      </x:c>
      <x:c r="C309" s="43" t="str">
        <x:v>HLA-DPB1</x:v>
      </x:c>
      <x:c r="D309" s="55" t="n">
        <x:v>2</x:v>
      </x:c>
      <x:c r="E309" s="43" t="str">
        <x:v>HLA-DPB1</x:v>
      </x:c>
      <x:c r="F309" s="43" t="str">
        <x:v>HLA-DPB1</x:v>
      </x:c>
      <x:c r="G309" s="43" t="str">
        <x:v>NO</x:v>
      </x:c>
      <x:c r="H309" s="59" t="n">
        <x:v>0.271730365</x:v>
      </x:c>
      <x:c r="I309" s="59" t="n">
        <x:v>2.40963435</x:v>
      </x:c>
      <x:c r="J309" s="55" t="n">
        <x:v>0</x:v>
      </x:c>
      <x:c r="K309" s="55" t="n">
        <x:v>0</x:v>
      </x:c>
      <x:c r="L309" s="44" t="str">
        <x:v>COMPLETE</x:v>
      </x:c>
    </x:row>
    <x:row r="310">
      <x:c r="A310" s="51" t="str">
        <x:v>GSE8121</x:v>
      </x:c>
      <x:c r="B310" s="52" t="str">
        <x:v>SIG034</x:v>
      </x:c>
      <x:c r="C310" s="52" t="str">
        <x:v>BUB3</x:v>
      </x:c>
      <x:c r="D310" s="56" t="n">
        <x:v>6</x:v>
      </x:c>
      <x:c r="E310" s="52" t="str">
        <x:v>BUB3</x:v>
      </x:c>
      <x:c r="F310" s="52" t="str">
        <x:v>BUB3</x:v>
      </x:c>
      <x:c r="G310" s="52" t="str">
        <x:v>NO</x:v>
      </x:c>
      <x:c r="H310" s="60" t="n">
        <x:v>0.4153377483333333</x:v>
      </x:c>
      <x:c r="I310" s="60" t="n">
        <x:v>1.5146651333333334</x:v>
      </x:c>
      <x:c r="J310" s="56" t="n">
        <x:v>0</x:v>
      </x:c>
      <x:c r="K310" s="56" t="n">
        <x:v>0</x:v>
      </x:c>
      <x:c r="L310" s="53" t="str">
        <x:v>COMPLETE</x:v>
      </x:c>
    </x:row>
    <x:row r="311">
      <x:c r="A311" s="42" t="str">
        <x:v>GSE8121</x:v>
      </x:c>
      <x:c r="B311" s="43" t="str">
        <x:v>SIG034</x:v>
      </x:c>
      <x:c r="C311" s="43" t="str">
        <x:v>SMYD2</x:v>
      </x:c>
      <x:c r="D311" s="55" t="n">
        <x:v>3</x:v>
      </x:c>
      <x:c r="E311" s="43" t="str">
        <x:v>SMYD2</x:v>
      </x:c>
      <x:c r="F311" s="43" t="str">
        <x:v>SMYD2</x:v>
      </x:c>
      <x:c r="G311" s="43" t="str">
        <x:v>NO</x:v>
      </x:c>
      <x:c r="H311" s="59" t="n">
        <x:v>0.53141185</x:v>
      </x:c>
      <x:c r="I311" s="59" t="n">
        <x:v>1.4325239</x:v>
      </x:c>
      <x:c r="J311" s="55" t="n">
        <x:v>0</x:v>
      </x:c>
      <x:c r="K311" s="55" t="n">
        <x:v>0</x:v>
      </x:c>
      <x:c r="L311" s="44" t="str">
        <x:v>COMPLETE</x:v>
      </x:c>
    </x:row>
    <x:row r="312">
      <x:c r="A312" s="51" t="str">
        <x:v>GSE8121</x:v>
      </x:c>
      <x:c r="B312" s="52" t="str">
        <x:v>SIG034</x:v>
      </x:c>
      <x:c r="C312" s="52" t="str">
        <x:v>SIDT1</x:v>
      </x:c>
      <x:c r="D312" s="56" t="n">
        <x:v>1</x:v>
      </x:c>
      <x:c r="E312" s="52" t="str">
        <x:v>SIDT1</x:v>
      </x:c>
      <x:c r="F312" s="52" t="str">
        <x:v>SIDT1</x:v>
      </x:c>
      <x:c r="G312" s="52" t="str">
        <x:v>NO</x:v>
      </x:c>
      <x:c r="H312" s="60" t="n">
        <x:v>0.13807416</x:v>
      </x:c>
      <x:c r="I312" s="60" t="n">
        <x:v>1.6303558</x:v>
      </x:c>
      <x:c r="J312" s="56" t="n">
        <x:v>0</x:v>
      </x:c>
      <x:c r="K312" s="56" t="n">
        <x:v>0</x:v>
      </x:c>
      <x:c r="L312" s="53" t="str">
        <x:v>COMPLETE</x:v>
      </x:c>
    </x:row>
    <x:row r="313">
      <x:c r="A313" s="42" t="str">
        <x:v>GSE8121</x:v>
      </x:c>
      <x:c r="B313" s="43" t="str">
        <x:v>SIG034</x:v>
      </x:c>
      <x:c r="C313" s="43" t="str">
        <x:v>EXOC2</x:v>
      </x:c>
      <x:c r="D313" s="55" t="n">
        <x:v>2</x:v>
      </x:c>
      <x:c r="E313" s="43" t="str">
        <x:v>EXOC2</x:v>
      </x:c>
      <x:c r="F313" s="43" t="str">
        <x:v>EXOC2</x:v>
      </x:c>
      <x:c r="G313" s="43" t="str">
        <x:v>NO</x:v>
      </x:c>
      <x:c r="H313" s="59" t="n">
        <x:v>0.408889335</x:v>
      </x:c>
      <x:c r="I313" s="59" t="n">
        <x:v>1.72785405</x:v>
      </x:c>
      <x:c r="J313" s="55" t="n">
        <x:v>0</x:v>
      </x:c>
      <x:c r="K313" s="55" t="n">
        <x:v>0</x:v>
      </x:c>
      <x:c r="L313" s="44" t="str">
        <x:v>COMPLETE</x:v>
      </x:c>
    </x:row>
    <x:row r="314">
      <x:c r="A314" s="51" t="str">
        <x:v>GSE8121</x:v>
      </x:c>
      <x:c r="B314" s="52" t="str">
        <x:v>SIG034</x:v>
      </x:c>
      <x:c r="C314" s="52" t="str">
        <x:v>TRIB2</x:v>
      </x:c>
      <x:c r="D314" s="56" t="n">
        <x:v>2</x:v>
      </x:c>
      <x:c r="E314" s="52" t="str">
        <x:v>TRIB2</x:v>
      </x:c>
      <x:c r="F314" s="52" t="str">
        <x:v>TRIB2</x:v>
      </x:c>
      <x:c r="G314" s="52" t="str">
        <x:v>NO</x:v>
      </x:c>
      <x:c r="H314" s="60" t="n">
        <x:v>0.147123445</x:v>
      </x:c>
      <x:c r="I314" s="60" t="n">
        <x:v>2.1474804</x:v>
      </x:c>
      <x:c r="J314" s="56" t="n">
        <x:v>0</x:v>
      </x:c>
      <x:c r="K314" s="56" t="n">
        <x:v>0</x:v>
      </x:c>
      <x:c r="L314" s="53" t="str">
        <x:v>COMPLETE</x:v>
      </x:c>
    </x:row>
    <x:row r="315">
      <x:c r="A315" s="42" t="str">
        <x:v>GSE8121</x:v>
      </x:c>
      <x:c r="B315" s="43" t="str">
        <x:v>SIG034</x:v>
      </x:c>
      <x:c r="C315" s="43" t="str">
        <x:v>KLRB1</x:v>
      </x:c>
      <x:c r="D315" s="55" t="n">
        <x:v>1</x:v>
      </x:c>
      <x:c r="E315" s="43" t="str">
        <x:v>KLRB1</x:v>
      </x:c>
      <x:c r="F315" s="43" t="str">
        <x:v>KLRB1</x:v>
      </x:c>
      <x:c r="G315" s="43" t="str">
        <x:v>NO</x:v>
      </x:c>
      <x:c r="H315" s="59" t="n">
        <x:v>0.055046372</x:v>
      </x:c>
      <x:c r="I315" s="59" t="n">
        <x:v>2.8897283</x:v>
      </x:c>
      <x:c r="J315" s="55" t="n">
        <x:v>0</x:v>
      </x:c>
      <x:c r="K315" s="55" t="n">
        <x:v>0</x:v>
      </x:c>
      <x:c r="L315" s="44" t="str">
        <x:v>COMPLETE</x:v>
      </x:c>
    </x:row>
    <x:row r="316">
      <x:c r="A316" s="51" t="str">
        <x:v>GSE54514</x:v>
      </x:c>
      <x:c r="B316" s="52" t="str">
        <x:v>SIG001</x:v>
      </x:c>
      <x:c r="C316" s="52" t="str">
        <x:v>CEACAM1</x:v>
      </x:c>
      <x:c r="D316" s="56" t="n">
        <x:v>3</x:v>
      </x:c>
      <x:c r="E316" s="52" t="str">
        <x:v>CEACAM1</x:v>
      </x:c>
      <x:c r="F316" s="52" t="str">
        <x:v>CEACAM1</x:v>
      </x:c>
      <x:c r="G316" s="52" t="str">
        <x:v>NO</x:v>
      </x:c>
      <x:c r="H316" s="60" t="n">
        <x:v>7.756922563</x:v>
      </x:c>
      <x:c r="I316" s="60" t="n">
        <x:v>12.477611223333334</x:v>
      </x:c>
      <x:c r="J316" s="56" t="n">
        <x:v>0</x:v>
      </x:c>
      <x:c r="K316" s="56" t="n">
        <x:v>0</x:v>
      </x:c>
      <x:c r="L316" s="53" t="str">
        <x:v>COMPLETE</x:v>
      </x:c>
    </x:row>
    <x:row r="317">
      <x:c r="A317" s="42" t="str">
        <x:v>GSE54514</x:v>
      </x:c>
      <x:c r="B317" s="43" t="str">
        <x:v>SIG001</x:v>
      </x:c>
      <x:c r="C317" s="43" t="str">
        <x:v>ZDHHC19</x:v>
      </x:c>
      <x:c r="D317" s="55" t="n">
        <x:v>1</x:v>
      </x:c>
      <x:c r="E317" s="43" t="str">
        <x:v>ZDHHC19</x:v>
      </x:c>
      <x:c r="F317" s="43" t="str">
        <x:v>ZDHHC19</x:v>
      </x:c>
      <x:c r="G317" s="43" t="str">
        <x:v>NO</x:v>
      </x:c>
      <x:c r="H317" s="59" t="n">
        <x:v>7.109515667</x:v>
      </x:c>
      <x:c r="I317" s="59" t="n">
        <x:v>13.35157299</x:v>
      </x:c>
      <x:c r="J317" s="55" t="n">
        <x:v>0</x:v>
      </x:c>
      <x:c r="K317" s="55" t="n">
        <x:v>0</x:v>
      </x:c>
      <x:c r="L317" s="44" t="str">
        <x:v>COMPLETE</x:v>
      </x:c>
    </x:row>
    <x:row r="318">
      <x:c r="A318" s="51" t="str">
        <x:v>GSE54514</x:v>
      </x:c>
      <x:c r="B318" s="52" t="str">
        <x:v>SIG001</x:v>
      </x:c>
      <x:c r="C318" s="52" t="str">
        <x:v>NMRK1</x:v>
      </x:c>
      <x:c r="D318" s="56" t="n">
        <x:v>1</x:v>
      </x:c>
      <x:c r="E318" s="52" t="str">
        <x:v>C9orf95</x:v>
      </x:c>
      <x:c r="F318" s="52" t="str">
        <x:v>NMRK1</x:v>
      </x:c>
      <x:c r="G318" s="52" t="str">
        <x:v>YES</x:v>
      </x:c>
      <x:c r="H318" s="60" t="n">
        <x:v>7.182671547</x:v>
      </x:c>
      <x:c r="I318" s="60" t="n">
        <x:v>8.666466713</x:v>
      </x:c>
      <x:c r="J318" s="56" t="n">
        <x:v>0</x:v>
      </x:c>
      <x:c r="K318" s="56" t="n">
        <x:v>0</x:v>
      </x:c>
      <x:c r="L318" s="53" t="str">
        <x:v>COMPLETE</x:v>
      </x:c>
    </x:row>
    <x:row r="319">
      <x:c r="A319" s="42" t="str">
        <x:v>GSE54514</x:v>
      </x:c>
      <x:c r="B319" s="43" t="str">
        <x:v>SIG001</x:v>
      </x:c>
      <x:c r="C319" s="43" t="str">
        <x:v>GNA15</x:v>
      </x:c>
      <x:c r="D319" s="55" t="n">
        <x:v>1</x:v>
      </x:c>
      <x:c r="E319" s="43" t="str">
        <x:v>GNA15</x:v>
      </x:c>
      <x:c r="F319" s="43" t="str">
        <x:v>GNA15</x:v>
      </x:c>
      <x:c r="G319" s="43" t="str">
        <x:v>NO</x:v>
      </x:c>
      <x:c r="H319" s="59" t="n">
        <x:v>7.710950375</x:v>
      </x:c>
      <x:c r="I319" s="59" t="n">
        <x:v>10.11756325</x:v>
      </x:c>
      <x:c r="J319" s="55" t="n">
        <x:v>0</x:v>
      </x:c>
      <x:c r="K319" s="55" t="n">
        <x:v>0</x:v>
      </x:c>
      <x:c r="L319" s="44" t="str">
        <x:v>COMPLETE</x:v>
      </x:c>
    </x:row>
    <x:row r="320">
      <x:c r="A320" s="51" t="str">
        <x:v>GSE54514</x:v>
      </x:c>
      <x:c r="B320" s="52" t="str">
        <x:v>SIG001</x:v>
      </x:c>
      <x:c r="C320" s="52" t="str">
        <x:v>BATF</x:v>
      </x:c>
      <x:c r="D320" s="56" t="n">
        <x:v>1</x:v>
      </x:c>
      <x:c r="E320" s="52" t="str">
        <x:v>BATF</x:v>
      </x:c>
      <x:c r="F320" s="52" t="str">
        <x:v>BATF</x:v>
      </x:c>
      <x:c r="G320" s="52" t="str">
        <x:v>NO</x:v>
      </x:c>
      <x:c r="H320" s="60" t="n">
        <x:v>7.482713223</x:v>
      </x:c>
      <x:c r="I320" s="60" t="n">
        <x:v>9.705277443</x:v>
      </x:c>
      <x:c r="J320" s="56" t="n">
        <x:v>0</x:v>
      </x:c>
      <x:c r="K320" s="56" t="n">
        <x:v>0</x:v>
      </x:c>
      <x:c r="L320" s="53" t="str">
        <x:v>COMPLETE</x:v>
      </x:c>
    </x:row>
    <x:row r="321">
      <x:c r="A321" s="42" t="str">
        <x:v>GSE54514</x:v>
      </x:c>
      <x:c r="B321" s="43" t="str">
        <x:v>SIG001</x:v>
      </x:c>
      <x:c r="C321" s="43" t="str">
        <x:v>C3AR1</x:v>
      </x:c>
      <x:c r="D321" s="55" t="n">
        <x:v>1</x:v>
      </x:c>
      <x:c r="E321" s="43" t="str">
        <x:v>C3AR1</x:v>
      </x:c>
      <x:c r="F321" s="43" t="str">
        <x:v>C3AR1</x:v>
      </x:c>
      <x:c r="G321" s="43" t="str">
        <x:v>NO</x:v>
      </x:c>
      <x:c r="H321" s="59" t="n">
        <x:v>6.95794487</x:v>
      </x:c>
      <x:c r="I321" s="59" t="n">
        <x:v>10.19632721</x:v>
      </x:c>
      <x:c r="J321" s="55" t="n">
        <x:v>0</x:v>
      </x:c>
      <x:c r="K321" s="55" t="n">
        <x:v>0</x:v>
      </x:c>
      <x:c r="L321" s="44" t="str">
        <x:v>COMPLETE</x:v>
      </x:c>
    </x:row>
    <x:row r="322">
      <x:c r="A322" s="51" t="str">
        <x:v>GSE54514</x:v>
      </x:c>
      <x:c r="B322" s="52" t="str">
        <x:v>SIG001</x:v>
      </x:c>
      <x:c r="C322" s="52" t="str">
        <x:v>FAM214A</x:v>
      </x:c>
      <x:c r="D322" s="56" t="n">
        <x:v>2</x:v>
      </x:c>
      <x:c r="E322" s="52" t="str">
        <x:v>KIAA1370</x:v>
      </x:c>
      <x:c r="F322" s="52" t="str">
        <x:v>FAM214A</x:v>
      </x:c>
      <x:c r="G322" s="52" t="str">
        <x:v>YES</x:v>
      </x:c>
      <x:c r="H322" s="60" t="n">
        <x:v>7.219620943000001</x:v>
      </x:c>
      <x:c r="I322" s="60" t="n">
        <x:v>8.500835419</x:v>
      </x:c>
      <x:c r="J322" s="56" t="n">
        <x:v>0</x:v>
      </x:c>
      <x:c r="K322" s="56" t="n">
        <x:v>0</x:v>
      </x:c>
      <x:c r="L322" s="53" t="str">
        <x:v>COMPLETE</x:v>
      </x:c>
    </x:row>
    <x:row r="323">
      <x:c r="A323" s="42" t="str">
        <x:v>GSE54514</x:v>
      </x:c>
      <x:c r="B323" s="43" t="str">
        <x:v>SIG001</x:v>
      </x:c>
      <x:c r="C323" s="43" t="str">
        <x:v>TGFBI</x:v>
      </x:c>
      <x:c r="D323" s="55" t="n">
        <x:v>1</x:v>
      </x:c>
      <x:c r="E323" s="43" t="str">
        <x:v>TGFBI</x:v>
      </x:c>
      <x:c r="F323" s="43" t="str">
        <x:v>TGFBI</x:v>
      </x:c>
      <x:c r="G323" s="43" t="str">
        <x:v>NO</x:v>
      </x:c>
      <x:c r="H323" s="59" t="n">
        <x:v>7.140789509</x:v>
      </x:c>
      <x:c r="I323" s="59" t="n">
        <x:v>11.87633133</x:v>
      </x:c>
      <x:c r="J323" s="55" t="n">
        <x:v>0</x:v>
      </x:c>
      <x:c r="K323" s="55" t="n">
        <x:v>0</x:v>
      </x:c>
      <x:c r="L323" s="44" t="str">
        <x:v>COMPLETE</x:v>
      </x:c>
    </x:row>
    <x:row r="324">
      <x:c r="A324" s="51" t="str">
        <x:v>GSE54514</x:v>
      </x:c>
      <x:c r="B324" s="52" t="str">
        <x:v>SIG001</x:v>
      </x:c>
      <x:c r="C324" s="52" t="str">
        <x:v>MTCH1</x:v>
      </x:c>
      <x:c r="D324" s="56" t="n">
        <x:v>1</x:v>
      </x:c>
      <x:c r="E324" s="52" t="str">
        <x:v>MTCH1</x:v>
      </x:c>
      <x:c r="F324" s="52" t="str">
        <x:v>MTCH1</x:v>
      </x:c>
      <x:c r="G324" s="52" t="str">
        <x:v>NO</x:v>
      </x:c>
      <x:c r="H324" s="60" t="n">
        <x:v>9.900898933</x:v>
      </x:c>
      <x:c r="I324" s="60" t="n">
        <x:v>11.28376484</x:v>
      </x:c>
      <x:c r="J324" s="56" t="n">
        <x:v>0</x:v>
      </x:c>
      <x:c r="K324" s="56" t="n">
        <x:v>0</x:v>
      </x:c>
      <x:c r="L324" s="53" t="str">
        <x:v>COMPLETE</x:v>
      </x:c>
    </x:row>
    <x:row r="325">
      <x:c r="A325" s="42" t="str">
        <x:v>GSE54514</x:v>
      </x:c>
      <x:c r="B325" s="43" t="str">
        <x:v>SIG001</x:v>
      </x:c>
      <x:c r="C325" s="43" t="str">
        <x:v>RPGRIP1</x:v>
      </x:c>
      <x:c r="D325" s="55" t="n">
        <x:v>1</x:v>
      </x:c>
      <x:c r="E325" s="43" t="str">
        <x:v>RPGRIP1</x:v>
      </x:c>
      <x:c r="F325" s="43" t="str">
        <x:v>RPGRIP1</x:v>
      </x:c>
      <x:c r="G325" s="43" t="str">
        <x:v>NO</x:v>
      </x:c>
      <x:c r="H325" s="59" t="n">
        <x:v>6.933664322</x:v>
      </x:c>
      <x:c r="I325" s="59" t="n">
        <x:v>7.826755524</x:v>
      </x:c>
      <x:c r="J325" s="55" t="n">
        <x:v>0</x:v>
      </x:c>
      <x:c r="K325" s="55" t="n">
        <x:v>0</x:v>
      </x:c>
      <x:c r="L325" s="44" t="str">
        <x:v>COMPLETE</x:v>
      </x:c>
    </x:row>
    <x:row r="326">
      <x:c r="A326" s="51" t="str">
        <x:v>GSE54514</x:v>
      </x:c>
      <x:c r="B326" s="52" t="str">
        <x:v>SIG001</x:v>
      </x:c>
      <x:c r="C326" s="52" t="str">
        <x:v>HLA-DPB1</x:v>
      </x:c>
      <x:c r="D326" s="56" t="n">
        <x:v>1</x:v>
      </x:c>
      <x:c r="E326" s="52" t="str">
        <x:v>HLA-DPB1</x:v>
      </x:c>
      <x:c r="F326" s="52" t="str">
        <x:v>HLA-DPB1</x:v>
      </x:c>
      <x:c r="G326" s="52" t="str">
        <x:v>NO</x:v>
      </x:c>
      <x:c r="H326" s="60" t="n">
        <x:v>6.966299057</x:v>
      </x:c>
      <x:c r="I326" s="60" t="n">
        <x:v>7.979776382</x:v>
      </x:c>
      <x:c r="J326" s="56" t="n">
        <x:v>0</x:v>
      </x:c>
      <x:c r="K326" s="56" t="n">
        <x:v>0</x:v>
      </x:c>
      <x:c r="L326" s="53" t="str">
        <x:v>COMPLETE</x:v>
      </x:c>
    </x:row>
    <x:row r="327">
      <x:c r="A327" s="42" t="str">
        <x:v>GSE54514</x:v>
      </x:c>
      <x:c r="B327" s="43" t="str">
        <x:v>SIG002</x:v>
      </x:c>
      <x:c r="C327" s="43" t="str">
        <x:v>PLAC8</x:v>
      </x:c>
      <x:c r="D327" s="55" t="n">
        <x:v>2</x:v>
      </x:c>
      <x:c r="E327" s="43" t="str">
        <x:v>PLAC8</x:v>
      </x:c>
      <x:c r="F327" s="43" t="str">
        <x:v>PLAC8</x:v>
      </x:c>
      <x:c r="G327" s="43" t="str">
        <x:v>NO</x:v>
      </x:c>
      <x:c r="H327" s="59" t="n">
        <x:v>9.1811404225</x:v>
      </x:c>
      <x:c r="I327" s="59" t="n">
        <x:v>14.273097995</x:v>
      </x:c>
      <x:c r="J327" s="55" t="n">
        <x:v>0</x:v>
      </x:c>
      <x:c r="K327" s="55" t="n">
        <x:v>0</x:v>
      </x:c>
      <x:c r="L327" s="44" t="str">
        <x:v>COMPLETE</x:v>
      </x:c>
    </x:row>
    <x:row r="328">
      <x:c r="A328" s="51" t="str">
        <x:v>GSE54514</x:v>
      </x:c>
      <x:c r="B328" s="52" t="str">
        <x:v>SIG002</x:v>
      </x:c>
      <x:c r="C328" s="52" t="str">
        <x:v>LAMP1</x:v>
      </x:c>
      <x:c r="D328" s="56" t="n">
        <x:v>1</x:v>
      </x:c>
      <x:c r="E328" s="52" t="str">
        <x:v>LAMP1</x:v>
      </x:c>
      <x:c r="F328" s="52" t="str">
        <x:v>LAMP1</x:v>
      </x:c>
      <x:c r="G328" s="52" t="str">
        <x:v>NO</x:v>
      </x:c>
      <x:c r="H328" s="60" t="n">
        <x:v>9.45743084</x:v>
      </x:c>
      <x:c r="I328" s="60" t="n">
        <x:v>11.84009647</x:v>
      </x:c>
      <x:c r="J328" s="56" t="n">
        <x:v>0</x:v>
      </x:c>
      <x:c r="K328" s="56" t="n">
        <x:v>0</x:v>
      </x:c>
      <x:c r="L328" s="53" t="str">
        <x:v>COMPLETE</x:v>
      </x:c>
    </x:row>
    <x:row r="329">
      <x:c r="A329" s="42" t="str">
        <x:v>GSE54514</x:v>
      </x:c>
      <x:c r="B329" s="43" t="str">
        <x:v>SIG002</x:v>
      </x:c>
      <x:c r="C329" s="43" t="str">
        <x:v>PLA2G7</x:v>
      </x:c>
      <x:c r="D329" s="55" t="n">
        <x:v>1</x:v>
      </x:c>
      <x:c r="E329" s="43" t="str">
        <x:v>PLA2G7</x:v>
      </x:c>
      <x:c r="F329" s="43" t="str">
        <x:v>PLA2G7</x:v>
      </x:c>
      <x:c r="G329" s="43" t="str">
        <x:v>NO</x:v>
      </x:c>
      <x:c r="H329" s="59" t="n">
        <x:v>7.011224747</x:v>
      </x:c>
      <x:c r="I329" s="59" t="n">
        <x:v>8.146549225</x:v>
      </x:c>
      <x:c r="J329" s="55" t="n">
        <x:v>0</x:v>
      </x:c>
      <x:c r="K329" s="55" t="n">
        <x:v>0</x:v>
      </x:c>
      <x:c r="L329" s="44" t="str">
        <x:v>COMPLETE</x:v>
      </x:c>
    </x:row>
    <x:row r="330">
      <x:c r="A330" s="51" t="str">
        <x:v>GSE54514</x:v>
      </x:c>
      <x:c r="B330" s="52" t="str">
        <x:v>SIG002</x:v>
      </x:c>
      <x:c r="C330" s="52" t="str">
        <x:v>CEACAM4</x:v>
      </x:c>
      <x:c r="D330" s="56" t="n">
        <x:v>1</x:v>
      </x:c>
      <x:c r="E330" s="52" t="str">
        <x:v>CEACAM4</x:v>
      </x:c>
      <x:c r="F330" s="52" t="str">
        <x:v>CEACAM4</x:v>
      </x:c>
      <x:c r="G330" s="52" t="str">
        <x:v>NO</x:v>
      </x:c>
      <x:c r="H330" s="60" t="n">
        <x:v>7.098770142</x:v>
      </x:c>
      <x:c r="I330" s="60" t="n">
        <x:v>8.600634575</x:v>
      </x:c>
      <x:c r="J330" s="56" t="n">
        <x:v>0</x:v>
      </x:c>
      <x:c r="K330" s="56" t="n">
        <x:v>0</x:v>
      </x:c>
      <x:c r="L330" s="53" t="str">
        <x:v>COMPLETE</x:v>
      </x:c>
    </x:row>
    <x:row r="331">
      <x:c r="A331" s="42" t="str">
        <x:v>GSE54514</x:v>
      </x:c>
      <x:c r="B331" s="43" t="str">
        <x:v>SIG003</x:v>
      </x:c>
      <x:c r="C331" s="43" t="str">
        <x:v>FAIM3</x:v>
      </x:c>
      <x:c r="D331" s="55" t="n">
        <x:v>1</x:v>
      </x:c>
      <x:c r="E331" s="43" t="str">
        <x:v>FAIM3</x:v>
      </x:c>
      <x:c r="F331" s="43" t="str">
        <x:v>FAIM3</x:v>
      </x:c>
      <x:c r="G331" s="43" t="str">
        <x:v>NO</x:v>
      </x:c>
      <x:c r="H331" s="59" t="n">
        <x:v>7.63295269</x:v>
      </x:c>
      <x:c r="I331" s="59" t="n">
        <x:v>10.94312572</x:v>
      </x:c>
      <x:c r="J331" s="55" t="n">
        <x:v>0</x:v>
      </x:c>
      <x:c r="K331" s="55" t="n">
        <x:v>0</x:v>
      </x:c>
      <x:c r="L331" s="44" t="str">
        <x:v>COMPLETE</x:v>
      </x:c>
    </x:row>
    <x:row r="332">
      <x:c r="A332" s="51" t="str">
        <x:v>GSE54514</x:v>
      </x:c>
      <x:c r="B332" s="52" t="str">
        <x:v>SIG003</x:v>
      </x:c>
      <x:c r="C332" s="52" t="str">
        <x:v>PLAC8</x:v>
      </x:c>
      <x:c r="D332" s="56" t="n">
        <x:v>2</x:v>
      </x:c>
      <x:c r="E332" s="52" t="str">
        <x:v>PLAC8</x:v>
      </x:c>
      <x:c r="F332" s="52" t="str">
        <x:v>PLAC8</x:v>
      </x:c>
      <x:c r="G332" s="52" t="str">
        <x:v>NO</x:v>
      </x:c>
      <x:c r="H332" s="60" t="n">
        <x:v>9.1811404225</x:v>
      </x:c>
      <x:c r="I332" s="60" t="n">
        <x:v>14.273097995</x:v>
      </x:c>
      <x:c r="J332" s="56" t="n">
        <x:v>0</x:v>
      </x:c>
      <x:c r="K332" s="56" t="n">
        <x:v>0</x:v>
      </x:c>
      <x:c r="L332" s="53" t="str">
        <x:v>COMPLETE</x:v>
      </x:c>
    </x:row>
    <x:row r="333">
      <x:c r="A333" s="42" t="str">
        <x:v>GSE54514</x:v>
      </x:c>
      <x:c r="B333" s="43" t="str">
        <x:v>SIG004</x:v>
      </x:c>
      <x:c r="C333" s="43" t="str">
        <x:v>NLRP1</x:v>
      </x:c>
      <x:c r="D333" s="55" t="n">
        <x:v>2</x:v>
      </x:c>
      <x:c r="E333" s="43" t="str">
        <x:v>NLRP1</x:v>
      </x:c>
      <x:c r="F333" s="43" t="str">
        <x:v>NLRP1</x:v>
      </x:c>
      <x:c r="G333" s="43" t="str">
        <x:v>NO</x:v>
      </x:c>
      <x:c r="H333" s="59" t="n">
        <x:v>7.038110018</x:v>
      </x:c>
      <x:c r="I333" s="59" t="n">
        <x:v>7.8180143835</x:v>
      </x:c>
      <x:c r="J333" s="55" t="n">
        <x:v>0</x:v>
      </x:c>
      <x:c r="K333" s="55" t="n">
        <x:v>0</x:v>
      </x:c>
      <x:c r="L333" s="44" t="str">
        <x:v>COMPLETE</x:v>
      </x:c>
    </x:row>
    <x:row r="334">
      <x:c r="A334" s="51" t="str">
        <x:v>GSE54514</x:v>
      </x:c>
      <x:c r="B334" s="52" t="str">
        <x:v>SIG004</x:v>
      </x:c>
      <x:c r="C334" s="52" t="str">
        <x:v>IDNK</x:v>
      </x:c>
      <x:c r="D334" s="56" t="n">
        <x:v>1</x:v>
      </x:c>
      <x:c r="E334" s="52" t="str">
        <x:v>C9orf103</x:v>
      </x:c>
      <x:c r="F334" s="52" t="str">
        <x:v>IDNK</x:v>
      </x:c>
      <x:c r="G334" s="52" t="str">
        <x:v>YES</x:v>
      </x:c>
      <x:c r="H334" s="60" t="n">
        <x:v>7.390219688</x:v>
      </x:c>
      <x:c r="I334" s="60" t="n">
        <x:v>10.39387608</x:v>
      </x:c>
      <x:c r="J334" s="56" t="n">
        <x:v>0</x:v>
      </x:c>
      <x:c r="K334" s="56" t="n">
        <x:v>0</x:v>
      </x:c>
      <x:c r="L334" s="53" t="str">
        <x:v>COMPLETE</x:v>
      </x:c>
    </x:row>
    <x:row r="335">
      <x:c r="A335" s="42" t="str">
        <x:v>GSE54514</x:v>
      </x:c>
      <x:c r="B335" s="43" t="str">
        <x:v>SIG004</x:v>
      </x:c>
      <x:c r="C335" s="43" t="str">
        <x:v>PLAC8</x:v>
      </x:c>
      <x:c r="D335" s="55" t="n">
        <x:v>2</x:v>
      </x:c>
      <x:c r="E335" s="43" t="str">
        <x:v>PLAC8</x:v>
      </x:c>
      <x:c r="F335" s="43" t="str">
        <x:v>PLAC8</x:v>
      </x:c>
      <x:c r="G335" s="43" t="str">
        <x:v>NO</x:v>
      </x:c>
      <x:c r="H335" s="59" t="n">
        <x:v>9.1811404225</x:v>
      </x:c>
      <x:c r="I335" s="59" t="n">
        <x:v>14.273097995</x:v>
      </x:c>
      <x:c r="J335" s="55" t="n">
        <x:v>0</x:v>
      </x:c>
      <x:c r="K335" s="55" t="n">
        <x:v>0</x:v>
      </x:c>
      <x:c r="L335" s="44" t="str">
        <x:v>COMPLETE</x:v>
      </x:c>
    </x:row>
    <x:row r="336">
      <x:c r="A336" s="51" t="str">
        <x:v>GSE54514</x:v>
      </x:c>
      <x:c r="B336" s="52" t="str">
        <x:v>SIG022</x:v>
      </x:c>
      <x:c r="C336" s="52" t="str">
        <x:v>IFI27</x:v>
      </x:c>
      <x:c r="D336" s="56" t="n">
        <x:v>1</x:v>
      </x:c>
      <x:c r="E336" s="52" t="str">
        <x:v>IFI27</x:v>
      </x:c>
      <x:c r="F336" s="52" t="str">
        <x:v>IFI27</x:v>
      </x:c>
      <x:c r="G336" s="52" t="str">
        <x:v>NO</x:v>
      </x:c>
      <x:c r="H336" s="60" t="n">
        <x:v>7.08459425</x:v>
      </x:c>
      <x:c r="I336" s="60" t="n">
        <x:v>14.7777586</x:v>
      </x:c>
      <x:c r="J336" s="56" t="n">
        <x:v>0</x:v>
      </x:c>
      <x:c r="K336" s="56" t="n">
        <x:v>0</x:v>
      </x:c>
      <x:c r="L336" s="53" t="str">
        <x:v>COMPLETE</x:v>
      </x:c>
    </x:row>
    <x:row r="337">
      <x:c r="A337" s="42" t="str">
        <x:v>GSE54514</x:v>
      </x:c>
      <x:c r="B337" s="43" t="str">
        <x:v>SIG022</x:v>
      </x:c>
      <x:c r="C337" s="43" t="str">
        <x:v>JUP</x:v>
      </x:c>
      <x:c r="D337" s="55" t="n">
        <x:v>3</x:v>
      </x:c>
      <x:c r="E337" s="43" t="str">
        <x:v>JUP</x:v>
      </x:c>
      <x:c r="F337" s="43" t="str">
        <x:v>JUP</x:v>
      </x:c>
      <x:c r="G337" s="43" t="str">
        <x:v>NO</x:v>
      </x:c>
      <x:c r="H337" s="59" t="n">
        <x:v>6.961981058</x:v>
      </x:c>
      <x:c r="I337" s="59" t="n">
        <x:v>8.1857526305</x:v>
      </x:c>
      <x:c r="J337" s="55" t="n">
        <x:v>0</x:v>
      </x:c>
      <x:c r="K337" s="55" t="n">
        <x:v>0</x:v>
      </x:c>
      <x:c r="L337" s="44" t="str">
        <x:v>COMPLETE</x:v>
      </x:c>
    </x:row>
    <x:row r="338">
      <x:c r="A338" s="51" t="str">
        <x:v>GSE54514</x:v>
      </x:c>
      <x:c r="B338" s="52" t="str">
        <x:v>SIG022</x:v>
      </x:c>
      <x:c r="C338" s="52" t="str">
        <x:v>LAX1</x:v>
      </x:c>
      <x:c r="D338" s="56" t="n">
        <x:v>1</x:v>
      </x:c>
      <x:c r="E338" s="52" t="str">
        <x:v>LAX1</x:v>
      </x:c>
      <x:c r="F338" s="52" t="str">
        <x:v>LAX1</x:v>
      </x:c>
      <x:c r="G338" s="52" t="str">
        <x:v>NO</x:v>
      </x:c>
      <x:c r="H338" s="60" t="n">
        <x:v>7.117116928</x:v>
      </x:c>
      <x:c r="I338" s="60" t="n">
        <x:v>8.641979218</x:v>
      </x:c>
      <x:c r="J338" s="56" t="n">
        <x:v>0</x:v>
      </x:c>
      <x:c r="K338" s="56" t="n">
        <x:v>0</x:v>
      </x:c>
      <x:c r="L338" s="53" t="str">
        <x:v>COMPLETE</x:v>
      </x:c>
    </x:row>
    <x:row r="339">
      <x:c r="A339" s="42" t="str">
        <x:v>GSE54514</x:v>
      </x:c>
      <x:c r="B339" s="43" t="str">
        <x:v>SIG022</x:v>
      </x:c>
      <x:c r="C339" s="43" t="str">
        <x:v>HK3</x:v>
      </x:c>
      <x:c r="D339" s="55" t="n">
        <x:v>1</x:v>
      </x:c>
      <x:c r="E339" s="43" t="str">
        <x:v>HK3</x:v>
      </x:c>
      <x:c r="F339" s="43" t="str">
        <x:v>HK3</x:v>
      </x:c>
      <x:c r="G339" s="43" t="str">
        <x:v>NO</x:v>
      </x:c>
      <x:c r="H339" s="59" t="n">
        <x:v>8.123612404</x:v>
      </x:c>
      <x:c r="I339" s="59" t="n">
        <x:v>12.78023529</x:v>
      </x:c>
      <x:c r="J339" s="55" t="n">
        <x:v>0</x:v>
      </x:c>
      <x:c r="K339" s="55" t="n">
        <x:v>0</x:v>
      </x:c>
      <x:c r="L339" s="44" t="str">
        <x:v>COMPLETE</x:v>
      </x:c>
    </x:row>
    <x:row r="340">
      <x:c r="A340" s="51" t="str">
        <x:v>GSE54514</x:v>
      </x:c>
      <x:c r="B340" s="52" t="str">
        <x:v>SIG022</x:v>
      </x:c>
      <x:c r="C340" s="52" t="str">
        <x:v>TNIP1</x:v>
      </x:c>
      <x:c r="D340" s="56" t="n">
        <x:v>1</x:v>
      </x:c>
      <x:c r="E340" s="52" t="str">
        <x:v>TNIP1</x:v>
      </x:c>
      <x:c r="F340" s="52" t="str">
        <x:v>TNIP1</x:v>
      </x:c>
      <x:c r="G340" s="52" t="str">
        <x:v>NO</x:v>
      </x:c>
      <x:c r="H340" s="60" t="n">
        <x:v>8.203159332</x:v>
      </x:c>
      <x:c r="I340" s="60" t="n">
        <x:v>10.70352459</x:v>
      </x:c>
      <x:c r="J340" s="56" t="n">
        <x:v>0</x:v>
      </x:c>
      <x:c r="K340" s="56" t="n">
        <x:v>0</x:v>
      </x:c>
      <x:c r="L340" s="53" t="str">
        <x:v>COMPLETE</x:v>
      </x:c>
    </x:row>
    <x:row r="341">
      <x:c r="A341" s="42" t="str">
        <x:v>GSE54514</x:v>
      </x:c>
      <x:c r="B341" s="43" t="str">
        <x:v>SIG022</x:v>
      </x:c>
      <x:c r="C341" s="43" t="str">
        <x:v>GPAA1</x:v>
      </x:c>
      <x:c r="D341" s="55" t="n">
        <x:v>1</x:v>
      </x:c>
      <x:c r="E341" s="43" t="str">
        <x:v>GPAA1</x:v>
      </x:c>
      <x:c r="F341" s="43" t="str">
        <x:v>GPAA1</x:v>
      </x:c>
      <x:c r="G341" s="43" t="str">
        <x:v>NO</x:v>
      </x:c>
      <x:c r="H341" s="59" t="n">
        <x:v>7.024837494</x:v>
      </x:c>
      <x:c r="I341" s="59" t="n">
        <x:v>8.680199623</x:v>
      </x:c>
      <x:c r="J341" s="55" t="n">
        <x:v>0</x:v>
      </x:c>
      <x:c r="K341" s="55" t="n">
        <x:v>0</x:v>
      </x:c>
      <x:c r="L341" s="44" t="str">
        <x:v>COMPLETE</x:v>
      </x:c>
    </x:row>
    <x:row r="342">
      <x:c r="A342" s="51" t="str">
        <x:v>GSE54514</x:v>
      </x:c>
      <x:c r="B342" s="52" t="str">
        <x:v>SIG022</x:v>
      </x:c>
      <x:c r="C342" s="52" t="str">
        <x:v>CTSB</x:v>
      </x:c>
      <x:c r="D342" s="56" t="n">
        <x:v>2</x:v>
      </x:c>
      <x:c r="E342" s="52" t="str">
        <x:v>CTSB</x:v>
      </x:c>
      <x:c r="F342" s="52" t="str">
        <x:v>CTSB</x:v>
      </x:c>
      <x:c r="G342" s="52" t="str">
        <x:v>NO</x:v>
      </x:c>
      <x:c r="H342" s="60" t="n">
        <x:v>9.034415245</x:v>
      </x:c>
      <x:c r="I342" s="60" t="n">
        <x:v>12.257651805</x:v>
      </x:c>
      <x:c r="J342" s="56" t="n">
        <x:v>0</x:v>
      </x:c>
      <x:c r="K342" s="56" t="n">
        <x:v>0</x:v>
      </x:c>
      <x:c r="L342" s="53" t="str">
        <x:v>COMPLETE</x:v>
      </x:c>
    </x:row>
    <x:row r="343">
      <x:c r="A343" s="42" t="str">
        <x:v>GSE54514</x:v>
      </x:c>
      <x:c r="B343" s="43" t="str">
        <x:v>SIG023</x:v>
      </x:c>
      <x:c r="C343" s="43" t="str">
        <x:v>FAM89A</x:v>
      </x:c>
      <x:c r="D343" s="55" t="n">
        <x:v>4</x:v>
      </x:c>
      <x:c r="E343" s="43" t="str">
        <x:v>FAM89A</x:v>
      </x:c>
      <x:c r="F343" s="43" t="str">
        <x:v>FAM89A</x:v>
      </x:c>
      <x:c r="G343" s="43" t="str">
        <x:v>NO</x:v>
      </x:c>
      <x:c r="H343" s="59" t="n">
        <x:v>7.136583686000001</x:v>
      </x:c>
      <x:c r="I343" s="59" t="n">
        <x:v>9.255261778</x:v>
      </x:c>
      <x:c r="J343" s="55" t="n">
        <x:v>0</x:v>
      </x:c>
      <x:c r="K343" s="55" t="n">
        <x:v>0</x:v>
      </x:c>
      <x:c r="L343" s="44" t="str">
        <x:v>COMPLETE</x:v>
      </x:c>
    </x:row>
    <x:row r="344">
      <x:c r="A344" s="51" t="str">
        <x:v>GSE54514</x:v>
      </x:c>
      <x:c r="B344" s="52" t="str">
        <x:v>SIG023</x:v>
      </x:c>
      <x:c r="C344" s="52" t="str">
        <x:v>IFI44L</x:v>
      </x:c>
      <x:c r="D344" s="56" t="n">
        <x:v>1</x:v>
      </x:c>
      <x:c r="E344" s="52" t="str">
        <x:v>IFI44L</x:v>
      </x:c>
      <x:c r="F344" s="52" t="str">
        <x:v>IFI44L</x:v>
      </x:c>
      <x:c r="G344" s="52" t="str">
        <x:v>NO</x:v>
      </x:c>
      <x:c r="H344" s="60" t="n">
        <x:v>7.042683601</x:v>
      </x:c>
      <x:c r="I344" s="60" t="n">
        <x:v>12.60370731</x:v>
      </x:c>
      <x:c r="J344" s="56" t="n">
        <x:v>0</x:v>
      </x:c>
      <x:c r="K344" s="56" t="n">
        <x:v>0</x:v>
      </x:c>
      <x:c r="L344" s="53" t="str">
        <x:v>COMPLETE</x:v>
      </x:c>
    </x:row>
    <x:row r="345">
      <x:c r="A345" s="42" t="str">
        <x:v>GSE54514</x:v>
      </x:c>
      <x:c r="B345" s="43" t="str">
        <x:v>SIG033</x:v>
      </x:c>
      <x:c r="C345" s="43" t="str">
        <x:v>ADRB2</x:v>
      </x:c>
      <x:c r="D345" s="55" t="n">
        <x:v>1</x:v>
      </x:c>
      <x:c r="E345" s="43" t="str">
        <x:v>ADRB2</x:v>
      </x:c>
      <x:c r="F345" s="43" t="str">
        <x:v>ADRB2</x:v>
      </x:c>
      <x:c r="G345" s="43" t="str">
        <x:v>NO</x:v>
      </x:c>
      <x:c r="H345" s="59" t="n">
        <x:v>7.673389435</x:v>
      </x:c>
      <x:c r="I345" s="59" t="n">
        <x:v>9.33876133</x:v>
      </x:c>
      <x:c r="J345" s="55" t="n">
        <x:v>0</x:v>
      </x:c>
      <x:c r="K345" s="55" t="n">
        <x:v>0</x:v>
      </x:c>
      <x:c r="L345" s="44" t="str">
        <x:v>COMPLETE</x:v>
      </x:c>
    </x:row>
    <x:row r="346">
      <x:c r="A346" s="51" t="str">
        <x:v>GSE54514</x:v>
      </x:c>
      <x:c r="B346" s="52" t="str">
        <x:v>SIG033</x:v>
      </x:c>
      <x:c r="C346" s="52" t="str">
        <x:v>CTSG</x:v>
      </x:c>
      <x:c r="D346" s="56" t="n">
        <x:v>1</x:v>
      </x:c>
      <x:c r="E346" s="52" t="str">
        <x:v>CTSG</x:v>
      </x:c>
      <x:c r="F346" s="52" t="str">
        <x:v>CTSG</x:v>
      </x:c>
      <x:c r="G346" s="52" t="str">
        <x:v>NO</x:v>
      </x:c>
      <x:c r="H346" s="60" t="n">
        <x:v>7.076544762</x:v>
      </x:c>
      <x:c r="I346" s="60" t="n">
        <x:v>12.45229053</x:v>
      </x:c>
      <x:c r="J346" s="56" t="n">
        <x:v>0</x:v>
      </x:c>
      <x:c r="K346" s="56" t="n">
        <x:v>0</x:v>
      </x:c>
      <x:c r="L346" s="53" t="str">
        <x:v>COMPLETE</x:v>
      </x:c>
    </x:row>
    <x:row r="347">
      <x:c r="A347" s="42" t="str">
        <x:v>GSE54514</x:v>
      </x:c>
      <x:c r="B347" s="43" t="str">
        <x:v>SIG033</x:v>
      </x:c>
      <x:c r="C347" s="43" t="str">
        <x:v>CX3CR1</x:v>
      </x:c>
      <x:c r="D347" s="55" t="n">
        <x:v>2</x:v>
      </x:c>
      <x:c r="E347" s="43" t="str">
        <x:v>CX3CR1</x:v>
      </x:c>
      <x:c r="F347" s="43" t="str">
        <x:v>CX3CR1</x:v>
      </x:c>
      <x:c r="G347" s="43" t="str">
        <x:v>NO</x:v>
      </x:c>
      <x:c r="H347" s="59" t="n">
        <x:v>7.397311926</x:v>
      </x:c>
      <x:c r="I347" s="59" t="n">
        <x:v>10.254772188</x:v>
      </x:c>
      <x:c r="J347" s="55" t="n">
        <x:v>0</x:v>
      </x:c>
      <x:c r="K347" s="55" t="n">
        <x:v>0</x:v>
      </x:c>
      <x:c r="L347" s="44" t="str">
        <x:v>COMPLETE</x:v>
      </x:c>
    </x:row>
    <x:row r="348">
      <x:c r="A348" s="51" t="str">
        <x:v>GSE54514</x:v>
      </x:c>
      <x:c r="B348" s="52" t="str">
        <x:v>SIG033</x:v>
      </x:c>
      <x:c r="C348" s="52" t="str">
        <x:v>CXCR6</x:v>
      </x:c>
      <x:c r="D348" s="56" t="n">
        <x:v>1</x:v>
      </x:c>
      <x:c r="E348" s="52" t="str">
        <x:v>CXCR6</x:v>
      </x:c>
      <x:c r="F348" s="52" t="str">
        <x:v>CXCR6</x:v>
      </x:c>
      <x:c r="G348" s="52" t="str">
        <x:v>NO</x:v>
      </x:c>
      <x:c r="H348" s="60" t="n">
        <x:v>6.949070454</x:v>
      </x:c>
      <x:c r="I348" s="60" t="n">
        <x:v>7.694948673</x:v>
      </x:c>
      <x:c r="J348" s="56" t="n">
        <x:v>0</x:v>
      </x:c>
      <x:c r="K348" s="56" t="n">
        <x:v>0</x:v>
      </x:c>
      <x:c r="L348" s="53" t="str">
        <x:v>COMPLETE</x:v>
      </x:c>
    </x:row>
    <x:row r="349">
      <x:c r="A349" s="42" t="str">
        <x:v>GSE54514</x:v>
      </x:c>
      <x:c r="B349" s="43" t="str">
        <x:v>SIG033</x:v>
      </x:c>
      <x:c r="C349" s="43" t="str">
        <x:v>IL4R</x:v>
      </x:c>
      <x:c r="D349" s="55" t="n">
        <x:v>2</x:v>
      </x:c>
      <x:c r="E349" s="43" t="str">
        <x:v>IL4R</x:v>
      </x:c>
      <x:c r="F349" s="43" t="str">
        <x:v>IL4R</x:v>
      </x:c>
      <x:c r="G349" s="43" t="str">
        <x:v>NO</x:v>
      </x:c>
      <x:c r="H349" s="59" t="n">
        <x:v>7.561360359</x:v>
      </x:c>
      <x:c r="I349" s="59" t="n">
        <x:v>9.2333490825</x:v>
      </x:c>
      <x:c r="J349" s="55" t="n">
        <x:v>0</x:v>
      </x:c>
      <x:c r="K349" s="55" t="n">
        <x:v>0</x:v>
      </x:c>
      <x:c r="L349" s="44" t="str">
        <x:v>COMPLETE</x:v>
      </x:c>
    </x:row>
    <x:row r="350">
      <x:c r="A350" s="51" t="str">
        <x:v>GSE54514</x:v>
      </x:c>
      <x:c r="B350" s="52" t="str">
        <x:v>SIG033</x:v>
      </x:c>
      <x:c r="C350" s="52" t="str">
        <x:v>LTB</x:v>
      </x:c>
      <x:c r="D350" s="56" t="n">
        <x:v>2</x:v>
      </x:c>
      <x:c r="E350" s="52" t="str">
        <x:v>LTB</x:v>
      </x:c>
      <x:c r="F350" s="52" t="str">
        <x:v>LTB</x:v>
      </x:c>
      <x:c r="G350" s="52" t="str">
        <x:v>NO</x:v>
      </x:c>
      <x:c r="H350" s="60" t="n">
        <x:v>8.3594408035</x:v>
      </x:c>
      <x:c r="I350" s="60" t="n">
        <x:v>12.46161127</x:v>
      </x:c>
      <x:c r="J350" s="56" t="n">
        <x:v>0</x:v>
      </x:c>
      <x:c r="K350" s="56" t="n">
        <x:v>0</x:v>
      </x:c>
      <x:c r="L350" s="53" t="str">
        <x:v>COMPLETE</x:v>
      </x:c>
    </x:row>
    <x:row r="351">
      <x:c r="A351" s="42" t="str">
        <x:v>GSE54514</x:v>
      </x:c>
      <x:c r="B351" s="43" t="str">
        <x:v>SIG033</x:v>
      </x:c>
      <x:c r="C351" s="43" t="str">
        <x:v>TMSB10</x:v>
      </x:c>
      <x:c r="D351" s="55" t="n">
        <x:v>1</x:v>
      </x:c>
      <x:c r="E351" s="43" t="str">
        <x:v>TMSB10</x:v>
      </x:c>
      <x:c r="F351" s="43" t="str">
        <x:v>TMSB10</x:v>
      </x:c>
      <x:c r="G351" s="43" t="str">
        <x:v>NO</x:v>
      </x:c>
      <x:c r="H351" s="59" t="n">
        <x:v>12.0150528</x:v>
      </x:c>
      <x:c r="I351" s="59" t="n">
        <x:v>14.37623501</x:v>
      </x:c>
      <x:c r="J351" s="55" t="n">
        <x:v>0</x:v>
      </x:c>
      <x:c r="K351" s="55" t="n">
        <x:v>0</x:v>
      </x:c>
      <x:c r="L351" s="44" t="str">
        <x:v>COMPLETE</x:v>
      </x:c>
    </x:row>
    <x:row r="352">
      <x:c r="A352" s="51" t="str">
        <x:v>GSE54514</x:v>
      </x:c>
      <x:c r="B352" s="52" t="str">
        <x:v>SIG034</x:v>
      </x:c>
      <x:c r="C352" s="52" t="str">
        <x:v>NQO2</x:v>
      </x:c>
      <x:c r="D352" s="56" t="n">
        <x:v>1</x:v>
      </x:c>
      <x:c r="E352" s="52" t="str">
        <x:v>NQO2</x:v>
      </x:c>
      <x:c r="F352" s="52" t="str">
        <x:v>NQO2</x:v>
      </x:c>
      <x:c r="G352" s="52" t="str">
        <x:v>NO</x:v>
      </x:c>
      <x:c r="H352" s="60" t="n">
        <x:v>7.322337151</x:v>
      </x:c>
      <x:c r="I352" s="60" t="n">
        <x:v>10.12815189</x:v>
      </x:c>
      <x:c r="J352" s="56" t="n">
        <x:v>0</x:v>
      </x:c>
      <x:c r="K352" s="56" t="n">
        <x:v>0</x:v>
      </x:c>
      <x:c r="L352" s="53" t="str">
        <x:v>COMPLETE</x:v>
      </x:c>
    </x:row>
    <x:row r="353">
      <x:c r="A353" s="42" t="str">
        <x:v>GSE54514</x:v>
      </x:c>
      <x:c r="B353" s="43" t="str">
        <x:v>SIG034</x:v>
      </x:c>
      <x:c r="C353" s="43" t="str">
        <x:v>SLPI</x:v>
      </x:c>
      <x:c r="D353" s="55" t="n">
        <x:v>1</x:v>
      </x:c>
      <x:c r="E353" s="43" t="str">
        <x:v>SLPI</x:v>
      </x:c>
      <x:c r="F353" s="43" t="str">
        <x:v>SLPI</x:v>
      </x:c>
      <x:c r="G353" s="43" t="str">
        <x:v>NO</x:v>
      </x:c>
      <x:c r="H353" s="59" t="n">
        <x:v>7.209631443</x:v>
      </x:c>
      <x:c r="I353" s="59" t="n">
        <x:v>12.37606144</x:v>
      </x:c>
      <x:c r="J353" s="55" t="n">
        <x:v>0</x:v>
      </x:c>
      <x:c r="K353" s="55" t="n">
        <x:v>0</x:v>
      </x:c>
      <x:c r="L353" s="44" t="str">
        <x:v>COMPLETE</x:v>
      </x:c>
    </x:row>
    <x:row r="354">
      <x:c r="A354" s="51" t="str">
        <x:v>GSE54514</x:v>
      </x:c>
      <x:c r="B354" s="52" t="str">
        <x:v>SIG034</x:v>
      </x:c>
      <x:c r="C354" s="52" t="str">
        <x:v>ORM1</x:v>
      </x:c>
      <x:c r="D354" s="56" t="n">
        <x:v>1</x:v>
      </x:c>
      <x:c r="E354" s="52" t="str">
        <x:v>ORM1</x:v>
      </x:c>
      <x:c r="F354" s="52" t="str">
        <x:v>ORM1</x:v>
      </x:c>
      <x:c r="G354" s="52" t="str">
        <x:v>NO</x:v>
      </x:c>
      <x:c r="H354" s="60" t="n">
        <x:v>7.264138699</x:v>
      </x:c>
      <x:c r="I354" s="60" t="n">
        <x:v>11.28907967</x:v>
      </x:c>
      <x:c r="J354" s="56" t="n">
        <x:v>0</x:v>
      </x:c>
      <x:c r="K354" s="56" t="n">
        <x:v>0</x:v>
      </x:c>
      <x:c r="L354" s="53" t="str">
        <x:v>COMPLETE</x:v>
      </x:c>
    </x:row>
    <x:row r="355">
      <x:c r="A355" s="42" t="str">
        <x:v>GSE54514</x:v>
      </x:c>
      <x:c r="B355" s="43" t="str">
        <x:v>SIG034</x:v>
      </x:c>
      <x:c r="C355" s="43" t="str">
        <x:v>KLHL2</x:v>
      </x:c>
      <x:c r="D355" s="55" t="n">
        <x:v>1</x:v>
      </x:c>
      <x:c r="E355" s="43" t="str">
        <x:v>KLHL2</x:v>
      </x:c>
      <x:c r="F355" s="43" t="str">
        <x:v>KLHL2</x:v>
      </x:c>
      <x:c r="G355" s="43" t="str">
        <x:v>NO</x:v>
      </x:c>
      <x:c r="H355" s="59" t="n">
        <x:v>7.355311871</x:v>
      </x:c>
      <x:c r="I355" s="59" t="n">
        <x:v>10.76303005</x:v>
      </x:c>
      <x:c r="J355" s="55" t="n">
        <x:v>0</x:v>
      </x:c>
      <x:c r="K355" s="55" t="n">
        <x:v>0</x:v>
      </x:c>
      <x:c r="L355" s="44" t="str">
        <x:v>COMPLETE</x:v>
      </x:c>
    </x:row>
    <x:row r="356">
      <x:c r="A356" s="51" t="str">
        <x:v>GSE54514</x:v>
      </x:c>
      <x:c r="B356" s="52" t="str">
        <x:v>SIG034</x:v>
      </x:c>
      <x:c r="C356" s="52" t="str">
        <x:v>ANXA3</x:v>
      </x:c>
      <x:c r="D356" s="56" t="n">
        <x:v>1</x:v>
      </x:c>
      <x:c r="E356" s="52" t="str">
        <x:v>ANXA3</x:v>
      </x:c>
      <x:c r="F356" s="52" t="str">
        <x:v>ANXA3</x:v>
      </x:c>
      <x:c r="G356" s="52" t="str">
        <x:v>NO</x:v>
      </x:c>
      <x:c r="H356" s="60" t="n">
        <x:v>7.051062107</x:v>
      </x:c>
      <x:c r="I356" s="60" t="n">
        <x:v>10.19905949</x:v>
      </x:c>
      <x:c r="J356" s="56" t="n">
        <x:v>0</x:v>
      </x:c>
      <x:c r="K356" s="56" t="n">
        <x:v>0</x:v>
      </x:c>
      <x:c r="L356" s="53" t="str">
        <x:v>COMPLETE</x:v>
      </x:c>
    </x:row>
    <x:row r="357">
      <x:c r="A357" s="42" t="str">
        <x:v>GSE54514</x:v>
      </x:c>
      <x:c r="B357" s="43" t="str">
        <x:v>SIG034</x:v>
      </x:c>
      <x:c r="C357" s="43" t="str">
        <x:v>TXN</x:v>
      </x:c>
      <x:c r="D357" s="55" t="n">
        <x:v>2</x:v>
      </x:c>
      <x:c r="E357" s="43" t="str">
        <x:v>TXN</x:v>
      </x:c>
      <x:c r="F357" s="43" t="str">
        <x:v>TXN</x:v>
      </x:c>
      <x:c r="G357" s="43" t="str">
        <x:v>NO</x:v>
      </x:c>
      <x:c r="H357" s="59" t="n">
        <x:v>9.181901932</x:v>
      </x:c>
      <x:c r="I357" s="59" t="n">
        <x:v>12.66979313</x:v>
      </x:c>
      <x:c r="J357" s="55" t="n">
        <x:v>0</x:v>
      </x:c>
      <x:c r="K357" s="55" t="n">
        <x:v>0</x:v>
      </x:c>
      <x:c r="L357" s="44" t="str">
        <x:v>COMPLETE</x:v>
      </x:c>
    </x:row>
    <x:row r="358">
      <x:c r="A358" s="51" t="str">
        <x:v>GSE54514</x:v>
      </x:c>
      <x:c r="B358" s="52" t="str">
        <x:v>SIG034</x:v>
      </x:c>
      <x:c r="C358" s="52" t="str">
        <x:v>AQP9</x:v>
      </x:c>
      <x:c r="D358" s="56" t="n">
        <x:v>1</x:v>
      </x:c>
      <x:c r="E358" s="52" t="str">
        <x:v>AQP9</x:v>
      </x:c>
      <x:c r="F358" s="52" t="str">
        <x:v>AQP9</x:v>
      </x:c>
      <x:c r="G358" s="52" t="str">
        <x:v>NO</x:v>
      </x:c>
      <x:c r="H358" s="60" t="n">
        <x:v>10.80593014</x:v>
      </x:c>
      <x:c r="I358" s="60" t="n">
        <x:v>14.84386253</x:v>
      </x:c>
      <x:c r="J358" s="56" t="n">
        <x:v>0</x:v>
      </x:c>
      <x:c r="K358" s="56" t="n">
        <x:v>0</x:v>
      </x:c>
      <x:c r="L358" s="53" t="str">
        <x:v>COMPLETE</x:v>
      </x:c>
    </x:row>
    <x:row r="359">
      <x:c r="A359" s="42" t="str">
        <x:v>GSE54514</x:v>
      </x:c>
      <x:c r="B359" s="43" t="str">
        <x:v>SIG034</x:v>
      </x:c>
      <x:c r="C359" s="43" t="str">
        <x:v>BCL6</x:v>
      </x:c>
      <x:c r="D359" s="55" t="n">
        <x:v>2</x:v>
      </x:c>
      <x:c r="E359" s="43" t="str">
        <x:v>BCL6</x:v>
      </x:c>
      <x:c r="F359" s="43" t="str">
        <x:v>BCL6</x:v>
      </x:c>
      <x:c r="G359" s="43" t="str">
        <x:v>NO</x:v>
      </x:c>
      <x:c r="H359" s="59" t="n">
        <x:v>8.5750453495</x:v>
      </x:c>
      <x:c r="I359" s="59" t="n">
        <x:v>10.994251251</x:v>
      </x:c>
      <x:c r="J359" s="55" t="n">
        <x:v>0</x:v>
      </x:c>
      <x:c r="K359" s="55" t="n">
        <x:v>0</x:v>
      </x:c>
      <x:c r="L359" s="44" t="str">
        <x:v>COMPLETE</x:v>
      </x:c>
    </x:row>
    <x:row r="360">
      <x:c r="A360" s="51" t="str">
        <x:v>GSE54514</x:v>
      </x:c>
      <x:c r="B360" s="52" t="str">
        <x:v>SIG034</x:v>
      </x:c>
      <x:c r="C360" s="52" t="str">
        <x:v>DOK3</x:v>
      </x:c>
      <x:c r="D360" s="56" t="n">
        <x:v>1</x:v>
      </x:c>
      <x:c r="E360" s="52" t="str">
        <x:v>DOK3</x:v>
      </x:c>
      <x:c r="F360" s="52" t="str">
        <x:v>DOK3</x:v>
      </x:c>
      <x:c r="G360" s="52" t="str">
        <x:v>NO</x:v>
      </x:c>
      <x:c r="H360" s="60" t="n">
        <x:v>7.133171558</x:v>
      </x:c>
      <x:c r="I360" s="60" t="n">
        <x:v>8.868601799</x:v>
      </x:c>
      <x:c r="J360" s="56" t="n">
        <x:v>0</x:v>
      </x:c>
      <x:c r="K360" s="56" t="n">
        <x:v>0</x:v>
      </x:c>
      <x:c r="L360" s="53" t="str">
        <x:v>COMPLETE</x:v>
      </x:c>
    </x:row>
    <x:row r="361">
      <x:c r="A361" s="42" t="str">
        <x:v>GSE54514</x:v>
      </x:c>
      <x:c r="B361" s="43" t="str">
        <x:v>SIG034</x:v>
      </x:c>
      <x:c r="C361" s="43" t="str">
        <x:v>PFKFB4</x:v>
      </x:c>
      <x:c r="D361" s="55" t="n">
        <x:v>1</x:v>
      </x:c>
      <x:c r="E361" s="43" t="str">
        <x:v>PFKFB4</x:v>
      </x:c>
      <x:c r="F361" s="43" t="str">
        <x:v>PFKFB4</x:v>
      </x:c>
      <x:c r="G361" s="43" t="str">
        <x:v>NO</x:v>
      </x:c>
      <x:c r="H361" s="59" t="n">
        <x:v>8.676052094</x:v>
      </x:c>
      <x:c r="I361" s="59" t="n">
        <x:v>11.65307045</x:v>
      </x:c>
      <x:c r="J361" s="55" t="n">
        <x:v>0</x:v>
      </x:c>
      <x:c r="K361" s="55" t="n">
        <x:v>0</x:v>
      </x:c>
      <x:c r="L361" s="44" t="str">
        <x:v>COMPLETE</x:v>
      </x:c>
    </x:row>
    <x:row r="362">
      <x:c r="A362" s="51" t="str">
        <x:v>GSE54514</x:v>
      </x:c>
      <x:c r="B362" s="52" t="str">
        <x:v>SIG034</x:v>
      </x:c>
      <x:c r="C362" s="52" t="str">
        <x:v>TYK2</x:v>
      </x:c>
      <x:c r="D362" s="56" t="n">
        <x:v>1</x:v>
      </x:c>
      <x:c r="E362" s="52" t="str">
        <x:v>TYK2</x:v>
      </x:c>
      <x:c r="F362" s="52" t="str">
        <x:v>TYK2</x:v>
      </x:c>
      <x:c r="G362" s="52" t="str">
        <x:v>NO</x:v>
      </x:c>
      <x:c r="H362" s="60" t="n">
        <x:v>9.302598953</x:v>
      </x:c>
      <x:c r="I362" s="60" t="n">
        <x:v>10.93662739</x:v>
      </x:c>
      <x:c r="J362" s="56" t="n">
        <x:v>0</x:v>
      </x:c>
      <x:c r="K362" s="56" t="n">
        <x:v>0</x:v>
      </x:c>
      <x:c r="L362" s="53" t="str">
        <x:v>COMPLETE</x:v>
      </x:c>
    </x:row>
    <x:row r="363">
      <x:c r="A363" s="42" t="str">
        <x:v>GSE54514</x:v>
      </x:c>
      <x:c r="B363" s="43" t="str">
        <x:v>SIG034</x:v>
      </x:c>
      <x:c r="C363" s="43" t="str">
        <x:v>BCL2L11</x:v>
      </x:c>
      <x:c r="D363" s="55" t="n">
        <x:v>3</x:v>
      </x:c>
      <x:c r="E363" s="43" t="str">
        <x:v>BCL2L11</x:v>
      </x:c>
      <x:c r="F363" s="43" t="str">
        <x:v>BCL2L11</x:v>
      </x:c>
      <x:c r="G363" s="43" t="str">
        <x:v>NO</x:v>
      </x:c>
      <x:c r="H363" s="59" t="n">
        <x:v>7.021992524333334</x:v>
      </x:c>
      <x:c r="I363" s="59" t="n">
        <x:v>7.553700447</x:v>
      </x:c>
      <x:c r="J363" s="55" t="n">
        <x:v>0</x:v>
      </x:c>
      <x:c r="K363" s="55" t="n">
        <x:v>0</x:v>
      </x:c>
      <x:c r="L363" s="44" t="str">
        <x:v>COMPLETE</x:v>
      </x:c>
    </x:row>
    <x:row r="364">
      <x:c r="A364" s="51" t="str">
        <x:v>GSE54514</x:v>
      </x:c>
      <x:c r="B364" s="52" t="str">
        <x:v>SIG034</x:v>
      </x:c>
      <x:c r="C364" s="52" t="str">
        <x:v>BCAT1</x:v>
      </x:c>
      <x:c r="D364" s="56" t="n">
        <x:v>1</x:v>
      </x:c>
      <x:c r="E364" s="52" t="str">
        <x:v>BCAT1</x:v>
      </x:c>
      <x:c r="F364" s="52" t="str">
        <x:v>BCAT1</x:v>
      </x:c>
      <x:c r="G364" s="52" t="str">
        <x:v>NO</x:v>
      </x:c>
      <x:c r="H364" s="60" t="n">
        <x:v>6.977467537</x:v>
      </x:c>
      <x:c r="I364" s="60" t="n">
        <x:v>9.0160923</x:v>
      </x:c>
      <x:c r="J364" s="56" t="n">
        <x:v>0</x:v>
      </x:c>
      <x:c r="K364" s="56" t="n">
        <x:v>0</x:v>
      </x:c>
      <x:c r="L364" s="53" t="str">
        <x:v>COMPLETE</x:v>
      </x:c>
    </x:row>
    <x:row r="365">
      <x:c r="A365" s="42" t="str">
        <x:v>GSE54514</x:v>
      </x:c>
      <x:c r="B365" s="43" t="str">
        <x:v>SIG034</x:v>
      </x:c>
      <x:c r="C365" s="43" t="str">
        <x:v>BTBD7</x:v>
      </x:c>
      <x:c r="D365" s="55" t="n">
        <x:v>3</x:v>
      </x:c>
      <x:c r="E365" s="43" t="str">
        <x:v>BTBD7</x:v>
      </x:c>
      <x:c r="F365" s="43" t="str">
        <x:v>BTBD7</x:v>
      </x:c>
      <x:c r="G365" s="43" t="str">
        <x:v>NO</x:v>
      </x:c>
      <x:c r="H365" s="59" t="n">
        <x:v>7.085176945000001</x:v>
      </x:c>
      <x:c r="I365" s="59" t="n">
        <x:v>7.5465933483333325</x:v>
      </x:c>
      <x:c r="J365" s="55" t="n">
        <x:v>0</x:v>
      </x:c>
      <x:c r="K365" s="55" t="n">
        <x:v>0</x:v>
      </x:c>
      <x:c r="L365" s="44" t="str">
        <x:v>COMPLETE</x:v>
      </x:c>
    </x:row>
    <x:row r="366">
      <x:c r="A366" s="51" t="str">
        <x:v>GSE54514</x:v>
      </x:c>
      <x:c r="B366" s="52" t="str">
        <x:v>SIG034</x:v>
      </x:c>
      <x:c r="C366" s="52" t="str">
        <x:v>CEP55</x:v>
      </x:c>
      <x:c r="D366" s="56" t="n">
        <x:v>1</x:v>
      </x:c>
      <x:c r="E366" s="52" t="str">
        <x:v>CEP55</x:v>
      </x:c>
      <x:c r="F366" s="52" t="str">
        <x:v>CEP55</x:v>
      </x:c>
      <x:c r="G366" s="52" t="str">
        <x:v>NO</x:v>
      </x:c>
      <x:c r="H366" s="60" t="n">
        <x:v>7.014640808</x:v>
      </x:c>
      <x:c r="I366" s="60" t="n">
        <x:v>8.202566147</x:v>
      </x:c>
      <x:c r="J366" s="56" t="n">
        <x:v>0</x:v>
      </x:c>
      <x:c r="K366" s="56" t="n">
        <x:v>0</x:v>
      </x:c>
      <x:c r="L366" s="53" t="str">
        <x:v>COMPLETE</x:v>
      </x:c>
    </x:row>
    <x:row r="367">
      <x:c r="A367" s="42" t="str">
        <x:v>GSE54514</x:v>
      </x:c>
      <x:c r="B367" s="43" t="str">
        <x:v>SIG034</x:v>
      </x:c>
      <x:c r="C367" s="43" t="str">
        <x:v>HMMR</x:v>
      </x:c>
      <x:c r="D367" s="55" t="n">
        <x:v>2</x:v>
      </x:c>
      <x:c r="E367" s="43" t="str">
        <x:v>HMMR</x:v>
      </x:c>
      <x:c r="F367" s="43" t="str">
        <x:v>HMMR</x:v>
      </x:c>
      <x:c r="G367" s="43" t="str">
        <x:v>NO</x:v>
      </x:c>
      <x:c r="H367" s="59" t="n">
        <x:v>6.97603488</x:v>
      </x:c>
      <x:c r="I367" s="59" t="n">
        <x:v>8.071584463</x:v>
      </x:c>
      <x:c r="J367" s="55" t="n">
        <x:v>0</x:v>
      </x:c>
      <x:c r="K367" s="55" t="n">
        <x:v>0</x:v>
      </x:c>
      <x:c r="L367" s="44" t="str">
        <x:v>COMPLETE</x:v>
      </x:c>
    </x:row>
    <x:row r="368">
      <x:c r="A368" s="51" t="str">
        <x:v>GSE54514</x:v>
      </x:c>
      <x:c r="B368" s="52" t="str">
        <x:v>SIG034</x:v>
      </x:c>
      <x:c r="C368" s="52" t="str">
        <x:v>PRC1</x:v>
      </x:c>
      <x:c r="D368" s="56" t="n">
        <x:v>1</x:v>
      </x:c>
      <x:c r="E368" s="52" t="str">
        <x:v>PRC1</x:v>
      </x:c>
      <x:c r="F368" s="52" t="str">
        <x:v>PRC1</x:v>
      </x:c>
      <x:c r="G368" s="52" t="str">
        <x:v>NO</x:v>
      </x:c>
      <x:c r="H368" s="60" t="n">
        <x:v>7.131586075</x:v>
      </x:c>
      <x:c r="I368" s="60" t="n">
        <x:v>8.467381477</x:v>
      </x:c>
      <x:c r="J368" s="56" t="n">
        <x:v>0</x:v>
      </x:c>
      <x:c r="K368" s="56" t="n">
        <x:v>0</x:v>
      </x:c>
      <x:c r="L368" s="53" t="str">
        <x:v>COMPLETE</x:v>
      </x:c>
    </x:row>
    <x:row r="369">
      <x:c r="A369" s="42" t="str">
        <x:v>GSE54514</x:v>
      </x:c>
      <x:c r="B369" s="43" t="str">
        <x:v>SIG034</x:v>
      </x:c>
      <x:c r="C369" s="43" t="str">
        <x:v>KIF15</x:v>
      </x:c>
      <x:c r="D369" s="55" t="n">
        <x:v>1</x:v>
      </x:c>
      <x:c r="E369" s="43" t="str">
        <x:v>KIF15</x:v>
      </x:c>
      <x:c r="F369" s="43" t="str">
        <x:v>KIF15</x:v>
      </x:c>
      <x:c r="G369" s="43" t="str">
        <x:v>NO</x:v>
      </x:c>
      <x:c r="H369" s="59" t="n">
        <x:v>6.908921719</x:v>
      </x:c>
      <x:c r="I369" s="59" t="n">
        <x:v>7.599370003</x:v>
      </x:c>
      <x:c r="J369" s="55" t="n">
        <x:v>0</x:v>
      </x:c>
      <x:c r="K369" s="55" t="n">
        <x:v>0</x:v>
      </x:c>
      <x:c r="L369" s="44" t="str">
        <x:v>COMPLETE</x:v>
      </x:c>
    </x:row>
    <x:row r="370">
      <x:c r="A370" s="51" t="str">
        <x:v>GSE54514</x:v>
      </x:c>
      <x:c r="B370" s="52" t="str">
        <x:v>SIG034</x:v>
      </x:c>
      <x:c r="C370" s="52" t="str">
        <x:v>CAMP</x:v>
      </x:c>
      <x:c r="D370" s="56" t="n">
        <x:v>1</x:v>
      </x:c>
      <x:c r="E370" s="52" t="str">
        <x:v>CAMP</x:v>
      </x:c>
      <x:c r="F370" s="52" t="str">
        <x:v>CAMP</x:v>
      </x:c>
      <x:c r="G370" s="52" t="str">
        <x:v>NO</x:v>
      </x:c>
      <x:c r="H370" s="60" t="n">
        <x:v>7.514576912</x:v>
      </x:c>
      <x:c r="I370" s="60" t="n">
        <x:v>14.73068142</x:v>
      </x:c>
      <x:c r="J370" s="56" t="n">
        <x:v>0</x:v>
      </x:c>
      <x:c r="K370" s="56" t="n">
        <x:v>0</x:v>
      </x:c>
      <x:c r="L370" s="53" t="str">
        <x:v>COMPLETE</x:v>
      </x:c>
    </x:row>
    <x:row r="371">
      <x:c r="A371" s="42" t="str">
        <x:v>GSE54514</x:v>
      </x:c>
      <x:c r="B371" s="43" t="str">
        <x:v>SIG034</x:v>
      </x:c>
      <x:c r="C371" s="43" t="str">
        <x:v>CEACAM8</x:v>
      </x:c>
      <x:c r="D371" s="55" t="n">
        <x:v>1</x:v>
      </x:c>
      <x:c r="E371" s="43" t="str">
        <x:v>CEACAM8</x:v>
      </x:c>
      <x:c r="F371" s="43" t="str">
        <x:v>CEACAM8</x:v>
      </x:c>
      <x:c r="G371" s="43" t="str">
        <x:v>NO</x:v>
      </x:c>
      <x:c r="H371" s="59" t="n">
        <x:v>7.102374554</x:v>
      </x:c>
      <x:c r="I371" s="59" t="n">
        <x:v>12.5332222</x:v>
      </x:c>
      <x:c r="J371" s="55" t="n">
        <x:v>0</x:v>
      </x:c>
      <x:c r="K371" s="55" t="n">
        <x:v>0</x:v>
      </x:c>
      <x:c r="L371" s="44" t="str">
        <x:v>COMPLETE</x:v>
      </x:c>
    </x:row>
    <x:row r="372">
      <x:c r="A372" s="51" t="str">
        <x:v>GSE54514</x:v>
      </x:c>
      <x:c r="B372" s="52" t="str">
        <x:v>SIG034</x:v>
      </x:c>
      <x:c r="C372" s="52" t="str">
        <x:v>DEFA4</x:v>
      </x:c>
      <x:c r="D372" s="56" t="n">
        <x:v>1</x:v>
      </x:c>
      <x:c r="E372" s="52" t="str">
        <x:v>DEFA4</x:v>
      </x:c>
      <x:c r="F372" s="52" t="str">
        <x:v>DEFA4</x:v>
      </x:c>
      <x:c r="G372" s="52" t="str">
        <x:v>NO</x:v>
      </x:c>
      <x:c r="H372" s="60" t="n">
        <x:v>7.064834595</x:v>
      </x:c>
      <x:c r="I372" s="60" t="n">
        <x:v>14.11873436</x:v>
      </x:c>
      <x:c r="J372" s="56" t="n">
        <x:v>0</x:v>
      </x:c>
      <x:c r="K372" s="56" t="n">
        <x:v>0</x:v>
      </x:c>
      <x:c r="L372" s="53" t="str">
        <x:v>COMPLETE</x:v>
      </x:c>
    </x:row>
    <x:row r="373">
      <x:c r="A373" s="42" t="str">
        <x:v>GSE54514</x:v>
      </x:c>
      <x:c r="B373" s="43" t="str">
        <x:v>SIG034</x:v>
      </x:c>
      <x:c r="C373" s="43" t="str">
        <x:v>LCN2</x:v>
      </x:c>
      <x:c r="D373" s="55" t="n">
        <x:v>1</x:v>
      </x:c>
      <x:c r="E373" s="43" t="str">
        <x:v>LCN2</x:v>
      </x:c>
      <x:c r="F373" s="43" t="str">
        <x:v>LCN2</x:v>
      </x:c>
      <x:c r="G373" s="43" t="str">
        <x:v>NO</x:v>
      </x:c>
      <x:c r="H373" s="59" t="n">
        <x:v>8.22256279</x:v>
      </x:c>
      <x:c r="I373" s="59" t="n">
        <x:v>14.67478466</x:v>
      </x:c>
      <x:c r="J373" s="55" t="n">
        <x:v>0</x:v>
      </x:c>
      <x:c r="K373" s="55" t="n">
        <x:v>0</x:v>
      </x:c>
      <x:c r="L373" s="44" t="str">
        <x:v>COMPLETE</x:v>
      </x:c>
    </x:row>
    <x:row r="374">
      <x:c r="A374" s="51" t="str">
        <x:v>GSE54514</x:v>
      </x:c>
      <x:c r="B374" s="52" t="str">
        <x:v>SIG034</x:v>
      </x:c>
      <x:c r="C374" s="52" t="str">
        <x:v>CTSG</x:v>
      </x:c>
      <x:c r="D374" s="56" t="n">
        <x:v>1</x:v>
      </x:c>
      <x:c r="E374" s="52" t="str">
        <x:v>CTSG</x:v>
      </x:c>
      <x:c r="F374" s="52" t="str">
        <x:v>CTSG</x:v>
      </x:c>
      <x:c r="G374" s="52" t="str">
        <x:v>NO</x:v>
      </x:c>
      <x:c r="H374" s="60" t="n">
        <x:v>7.076544762</x:v>
      </x:c>
      <x:c r="I374" s="60" t="n">
        <x:v>12.45229053</x:v>
      </x:c>
      <x:c r="J374" s="56" t="n">
        <x:v>0</x:v>
      </x:c>
      <x:c r="K374" s="56" t="n">
        <x:v>0</x:v>
      </x:c>
      <x:c r="L374" s="53" t="str">
        <x:v>COMPLETE</x:v>
      </x:c>
    </x:row>
    <x:row r="375">
      <x:c r="A375" s="42" t="str">
        <x:v>GSE54514</x:v>
      </x:c>
      <x:c r="B375" s="43" t="str">
        <x:v>SIG034</x:v>
      </x:c>
      <x:c r="C375" s="43" t="str">
        <x:v>AZU1</x:v>
      </x:c>
      <x:c r="D375" s="55" t="n">
        <x:v>1</x:v>
      </x:c>
      <x:c r="E375" s="43" t="str">
        <x:v>AZU1</x:v>
      </x:c>
      <x:c r="F375" s="43" t="str">
        <x:v>AZU1</x:v>
      </x:c>
      <x:c r="G375" s="43" t="str">
        <x:v>NO</x:v>
      </x:c>
      <x:c r="H375" s="59" t="n">
        <x:v>7.025167465</x:v>
      </x:c>
      <x:c r="I375" s="59" t="n">
        <x:v>12.20028591</x:v>
      </x:c>
      <x:c r="J375" s="55" t="n">
        <x:v>0</x:v>
      </x:c>
      <x:c r="K375" s="55" t="n">
        <x:v>0</x:v>
      </x:c>
      <x:c r="L375" s="44" t="str">
        <x:v>COMPLETE</x:v>
      </x:c>
    </x:row>
    <x:row r="376">
      <x:c r="A376" s="51" t="str">
        <x:v>GSE54514</x:v>
      </x:c>
      <x:c r="B376" s="52" t="str">
        <x:v>SIG034</x:v>
      </x:c>
      <x:c r="C376" s="52" t="str">
        <x:v>MAFB</x:v>
      </x:c>
      <x:c r="D376" s="56" t="n">
        <x:v>1</x:v>
      </x:c>
      <x:c r="E376" s="52" t="str">
        <x:v>MAFB</x:v>
      </x:c>
      <x:c r="F376" s="52" t="str">
        <x:v>MAFB</x:v>
      </x:c>
      <x:c r="G376" s="52" t="str">
        <x:v>NO</x:v>
      </x:c>
      <x:c r="H376" s="60" t="n">
        <x:v>7.812859058</x:v>
      </x:c>
      <x:c r="I376" s="60" t="n">
        <x:v>10.14369202</x:v>
      </x:c>
      <x:c r="J376" s="56" t="n">
        <x:v>0</x:v>
      </x:c>
      <x:c r="K376" s="56" t="n">
        <x:v>0</x:v>
      </x:c>
      <x:c r="L376" s="53" t="str">
        <x:v>COMPLETE</x:v>
      </x:c>
    </x:row>
    <x:row r="377">
      <x:c r="A377" s="42" t="str">
        <x:v>GSE54514</x:v>
      </x:c>
      <x:c r="B377" s="43" t="str">
        <x:v>SIG034</x:v>
      </x:c>
      <x:c r="C377" s="43" t="str">
        <x:v>OASL</x:v>
      </x:c>
      <x:c r="D377" s="55" t="n">
        <x:v>2</x:v>
      </x:c>
      <x:c r="E377" s="43" t="str">
        <x:v>OASL</x:v>
      </x:c>
      <x:c r="F377" s="43" t="str">
        <x:v>OASL</x:v>
      </x:c>
      <x:c r="G377" s="43" t="str">
        <x:v>NO</x:v>
      </x:c>
      <x:c r="H377" s="59" t="n">
        <x:v>7.0580289364999995</x:v>
      </x:c>
      <x:c r="I377" s="59" t="n">
        <x:v>10.450778961</x:v>
      </x:c>
      <x:c r="J377" s="55" t="n">
        <x:v>0</x:v>
      </x:c>
      <x:c r="K377" s="55" t="n">
        <x:v>0</x:v>
      </x:c>
      <x:c r="L377" s="44" t="str">
        <x:v>COMPLETE</x:v>
      </x:c>
    </x:row>
    <x:row r="378">
      <x:c r="A378" s="51" t="str">
        <x:v>GSE54514</x:v>
      </x:c>
      <x:c r="B378" s="52" t="str">
        <x:v>SIG034</x:v>
      </x:c>
      <x:c r="C378" s="52" t="str">
        <x:v>UBE2L6</x:v>
      </x:c>
      <x:c r="D378" s="56" t="n">
        <x:v>3</x:v>
      </x:c>
      <x:c r="E378" s="52" t="str">
        <x:v>UBE2L6</x:v>
      </x:c>
      <x:c r="F378" s="52" t="str">
        <x:v>UBE2L6</x:v>
      </x:c>
      <x:c r="G378" s="52" t="str">
        <x:v>NO</x:v>
      </x:c>
      <x:c r="H378" s="60" t="n">
        <x:v>8.555212021</x:v>
      </x:c>
      <x:c r="I378" s="60" t="n">
        <x:v>11.5380249025</x:v>
      </x:c>
      <x:c r="J378" s="56" t="n">
        <x:v>0</x:v>
      </x:c>
      <x:c r="K378" s="56" t="n">
        <x:v>0</x:v>
      </x:c>
      <x:c r="L378" s="53" t="str">
        <x:v>COMPLETE</x:v>
      </x:c>
    </x:row>
    <x:row r="379">
      <x:c r="A379" s="42" t="str">
        <x:v>GSE54514</x:v>
      </x:c>
      <x:c r="B379" s="43" t="str">
        <x:v>SIG034</x:v>
      </x:c>
      <x:c r="C379" s="43" t="str">
        <x:v>VAMP5</x:v>
      </x:c>
      <x:c r="D379" s="55" t="n">
        <x:v>1</x:v>
      </x:c>
      <x:c r="E379" s="43" t="str">
        <x:v>VAMP5</x:v>
      </x:c>
      <x:c r="F379" s="43" t="str">
        <x:v>VAMP5</x:v>
      </x:c>
      <x:c r="G379" s="43" t="str">
        <x:v>NO</x:v>
      </x:c>
      <x:c r="H379" s="59" t="n">
        <x:v>8.605131149</x:v>
      </x:c>
      <x:c r="I379" s="59" t="n">
        <x:v>11.50496578</x:v>
      </x:c>
      <x:c r="J379" s="55" t="n">
        <x:v>0</x:v>
      </x:c>
      <x:c r="K379" s="55" t="n">
        <x:v>0</x:v>
      </x:c>
      <x:c r="L379" s="44" t="str">
        <x:v>COMPLETE</x:v>
      </x:c>
    </x:row>
    <x:row r="380">
      <x:c r="A380" s="51" t="str">
        <x:v>GSE54514</x:v>
      </x:c>
      <x:c r="B380" s="52" t="str">
        <x:v>SIG034</x:v>
      </x:c>
      <x:c r="C380" s="52" t="str">
        <x:v>CCL2</x:v>
      </x:c>
      <x:c r="D380" s="56" t="n">
        <x:v>1</x:v>
      </x:c>
      <x:c r="E380" s="52" t="str">
        <x:v>CCL2</x:v>
      </x:c>
      <x:c r="F380" s="52" t="str">
        <x:v>CCL2</x:v>
      </x:c>
      <x:c r="G380" s="52" t="str">
        <x:v>NO</x:v>
      </x:c>
      <x:c r="H380" s="60" t="n">
        <x:v>6.947171688</x:v>
      </x:c>
      <x:c r="I380" s="60" t="n">
        <x:v>7.9613204</x:v>
      </x:c>
      <x:c r="J380" s="56" t="n">
        <x:v>0</x:v>
      </x:c>
      <x:c r="K380" s="56" t="n">
        <x:v>0</x:v>
      </x:c>
      <x:c r="L380" s="53" t="str">
        <x:v>COMPLETE</x:v>
      </x:c>
    </x:row>
    <x:row r="381">
      <x:c r="A381" s="42" t="str">
        <x:v>GSE54514</x:v>
      </x:c>
      <x:c r="B381" s="43" t="str">
        <x:v>SIG034</x:v>
      </x:c>
      <x:c r="C381" s="43" t="str">
        <x:v>NAPA</x:v>
      </x:c>
      <x:c r="D381" s="55" t="n">
        <x:v>1</x:v>
      </x:c>
      <x:c r="E381" s="43" t="str">
        <x:v>NAPA</x:v>
      </x:c>
      <x:c r="F381" s="43" t="str">
        <x:v>NAPA</x:v>
      </x:c>
      <x:c r="G381" s="43" t="str">
        <x:v>NO</x:v>
      </x:c>
      <x:c r="H381" s="59" t="n">
        <x:v>7.077233791</x:v>
      </x:c>
      <x:c r="I381" s="59" t="n">
        <x:v>8.632047653</x:v>
      </x:c>
      <x:c r="J381" s="55" t="n">
        <x:v>0</x:v>
      </x:c>
      <x:c r="K381" s="55" t="n">
        <x:v>0</x:v>
      </x:c>
      <x:c r="L381" s="44" t="str">
        <x:v>COMPLETE</x:v>
      </x:c>
    </x:row>
    <x:row r="382">
      <x:c r="A382" s="51" t="str">
        <x:v>GSE54514</x:v>
      </x:c>
      <x:c r="B382" s="52" t="str">
        <x:v>SIG034</x:v>
      </x:c>
      <x:c r="C382" s="52" t="str">
        <x:v>ATG3</x:v>
      </x:c>
      <x:c r="D382" s="56" t="n">
        <x:v>2</x:v>
      </x:c>
      <x:c r="E382" s="52" t="str">
        <x:v>ATG3</x:v>
      </x:c>
      <x:c r="F382" s="52" t="str">
        <x:v>ATG3</x:v>
      </x:c>
      <x:c r="G382" s="52" t="str">
        <x:v>NO</x:v>
      </x:c>
      <x:c r="H382" s="60" t="n">
        <x:v>7.888645886999999</x:v>
      </x:c>
      <x:c r="I382" s="60" t="n">
        <x:v>9.0066635585</x:v>
      </x:c>
      <x:c r="J382" s="56" t="n">
        <x:v>0</x:v>
      </x:c>
      <x:c r="K382" s="56" t="n">
        <x:v>0</x:v>
      </x:c>
      <x:c r="L382" s="53" t="str">
        <x:v>COMPLETE</x:v>
      </x:c>
    </x:row>
    <x:row r="383">
      <x:c r="A383" s="42" t="str">
        <x:v>GSE54514</x:v>
      </x:c>
      <x:c r="B383" s="43" t="str">
        <x:v>SIG034</x:v>
      </x:c>
      <x:c r="C383" s="43" t="str">
        <x:v>VRK2</x:v>
      </x:c>
      <x:c r="D383" s="55" t="n">
        <x:v>1</x:v>
      </x:c>
      <x:c r="E383" s="43" t="str">
        <x:v>VRK2</x:v>
      </x:c>
      <x:c r="F383" s="43" t="str">
        <x:v>VRK2</x:v>
      </x:c>
      <x:c r="G383" s="43" t="str">
        <x:v>NO</x:v>
      </x:c>
      <x:c r="H383" s="59" t="n">
        <x:v>6.975409985</x:v>
      </x:c>
      <x:c r="I383" s="59" t="n">
        <x:v>7.980214596</x:v>
      </x:c>
      <x:c r="J383" s="55" t="n">
        <x:v>0</x:v>
      </x:c>
      <x:c r="K383" s="55" t="n">
        <x:v>0</x:v>
      </x:c>
      <x:c r="L383" s="44" t="str">
        <x:v>COMPLETE</x:v>
      </x:c>
    </x:row>
    <x:row r="384">
      <x:c r="A384" s="51" t="str">
        <x:v>GSE54514</x:v>
      </x:c>
      <x:c r="B384" s="52" t="str">
        <x:v>SIG034</x:v>
      </x:c>
      <x:c r="C384" s="52" t="str">
        <x:v>TMEM123</x:v>
      </x:c>
      <x:c r="D384" s="56" t="n">
        <x:v>1</x:v>
      </x:c>
      <x:c r="E384" s="52" t="str">
        <x:v>TMEM123</x:v>
      </x:c>
      <x:c r="F384" s="52" t="str">
        <x:v>TMEM123</x:v>
      </x:c>
      <x:c r="G384" s="52" t="str">
        <x:v>NO</x:v>
      </x:c>
      <x:c r="H384" s="60" t="n">
        <x:v>7.85962534</x:v>
      </x:c>
      <x:c r="I384" s="60" t="n">
        <x:v>11.41880035</x:v>
      </x:c>
      <x:c r="J384" s="56" t="n">
        <x:v>0</x:v>
      </x:c>
      <x:c r="K384" s="56" t="n">
        <x:v>0</x:v>
      </x:c>
      <x:c r="L384" s="53" t="str">
        <x:v>COMPLETE</x:v>
      </x:c>
    </x:row>
    <x:row r="385">
      <x:c r="A385" s="42" t="str">
        <x:v>GSE54514</x:v>
      </x:c>
      <x:c r="B385" s="43" t="str">
        <x:v>SIG034</x:v>
      </x:c>
      <x:c r="C385" s="43" t="str">
        <x:v>CASP7</x:v>
      </x:c>
      <x:c r="D385" s="55" t="n">
        <x:v>3</x:v>
      </x:c>
      <x:c r="E385" s="43" t="str">
        <x:v>CASP7</x:v>
      </x:c>
      <x:c r="F385" s="43" t="str">
        <x:v>CASP7</x:v>
      </x:c>
      <x:c r="G385" s="43" t="str">
        <x:v>NO</x:v>
      </x:c>
      <x:c r="H385" s="59" t="n">
        <x:v>7.028920174</x:v>
      </x:c>
      <x:c r="I385" s="59" t="n">
        <x:v>7.790962696</x:v>
      </x:c>
      <x:c r="J385" s="55" t="n">
        <x:v>0</x:v>
      </x:c>
      <x:c r="K385" s="55" t="n">
        <x:v>0</x:v>
      </x:c>
      <x:c r="L385" s="44" t="str">
        <x:v>COMPLETE</x:v>
      </x:c>
    </x:row>
    <x:row r="386">
      <x:c r="A386" s="51" t="str">
        <x:v>GSE54514</x:v>
      </x:c>
      <x:c r="B386" s="52" t="str">
        <x:v>SIG034</x:v>
      </x:c>
      <x:c r="C386" s="52" t="str">
        <x:v>DOK2</x:v>
      </x:c>
      <x:c r="D386" s="56" t="n">
        <x:v>2</x:v>
      </x:c>
      <x:c r="E386" s="52" t="str">
        <x:v>DOK2</x:v>
      </x:c>
      <x:c r="F386" s="52" t="str">
        <x:v>DOK2</x:v>
      </x:c>
      <x:c r="G386" s="52" t="str">
        <x:v>NO</x:v>
      </x:c>
      <x:c r="H386" s="60" t="n">
        <x:v>7.1651992799999995</x:v>
      </x:c>
      <x:c r="I386" s="60" t="n">
        <x:v>8.37693882</x:v>
      </x:c>
      <x:c r="J386" s="56" t="n">
        <x:v>0</x:v>
      </x:c>
      <x:c r="K386" s="56" t="n">
        <x:v>0</x:v>
      </x:c>
      <x:c r="L386" s="53" t="str">
        <x:v>COMPLETE</x:v>
      </x:c>
    </x:row>
    <x:row r="387">
      <x:c r="A387" s="42" t="str">
        <x:v>GSE54514</x:v>
      </x:c>
      <x:c r="B387" s="43" t="str">
        <x:v>SIG034</x:v>
      </x:c>
      <x:c r="C387" s="43" t="str">
        <x:v>HLA-DPB1</x:v>
      </x:c>
      <x:c r="D387" s="55" t="n">
        <x:v>1</x:v>
      </x:c>
      <x:c r="E387" s="43" t="str">
        <x:v>HLA-DPB1</x:v>
      </x:c>
      <x:c r="F387" s="43" t="str">
        <x:v>HLA-DPB1</x:v>
      </x:c>
      <x:c r="G387" s="43" t="str">
        <x:v>NO</x:v>
      </x:c>
      <x:c r="H387" s="59" t="n">
        <x:v>6.966299057</x:v>
      </x:c>
      <x:c r="I387" s="59" t="n">
        <x:v>7.979776382</x:v>
      </x:c>
      <x:c r="J387" s="55" t="n">
        <x:v>0</x:v>
      </x:c>
      <x:c r="K387" s="55" t="n">
        <x:v>0</x:v>
      </x:c>
      <x:c r="L387" s="44" t="str">
        <x:v>COMPLETE</x:v>
      </x:c>
    </x:row>
    <x:row r="388">
      <x:c r="A388" s="51" t="str">
        <x:v>GSE54514</x:v>
      </x:c>
      <x:c r="B388" s="52" t="str">
        <x:v>SIG034</x:v>
      </x:c>
      <x:c r="C388" s="52" t="str">
        <x:v>BUB3</x:v>
      </x:c>
      <x:c r="D388" s="56" t="n">
        <x:v>4</x:v>
      </x:c>
      <x:c r="E388" s="52" t="str">
        <x:v>BUB3</x:v>
      </x:c>
      <x:c r="F388" s="52" t="str">
        <x:v>BUB3</x:v>
      </x:c>
      <x:c r="G388" s="52" t="str">
        <x:v>NO</x:v>
      </x:c>
      <x:c r="H388" s="60" t="n">
        <x:v>7.589659810000001</x:v>
      </x:c>
      <x:c r="I388" s="60" t="n">
        <x:v>8.556268095</x:v>
      </x:c>
      <x:c r="J388" s="56" t="n">
        <x:v>0</x:v>
      </x:c>
      <x:c r="K388" s="56" t="n">
        <x:v>0</x:v>
      </x:c>
      <x:c r="L388" s="53" t="str">
        <x:v>COMPLETE</x:v>
      </x:c>
    </x:row>
    <x:row r="389">
      <x:c r="A389" s="42" t="str">
        <x:v>GSE54514</x:v>
      </x:c>
      <x:c r="B389" s="43" t="str">
        <x:v>SIG034</x:v>
      </x:c>
      <x:c r="C389" s="43" t="str">
        <x:v>SMYD2</x:v>
      </x:c>
      <x:c r="D389" s="55" t="n">
        <x:v>2</x:v>
      </x:c>
      <x:c r="E389" s="43" t="str">
        <x:v>SMYD2</x:v>
      </x:c>
      <x:c r="F389" s="43" t="str">
        <x:v>SMYD2</x:v>
      </x:c>
      <x:c r="G389" s="43" t="str">
        <x:v>NO</x:v>
      </x:c>
      <x:c r="H389" s="59" t="n">
        <x:v>7.086549282</x:v>
      </x:c>
      <x:c r="I389" s="59" t="n">
        <x:v>7.528100729</x:v>
      </x:c>
      <x:c r="J389" s="55" t="n">
        <x:v>0</x:v>
      </x:c>
      <x:c r="K389" s="55" t="n">
        <x:v>0</x:v>
      </x:c>
      <x:c r="L389" s="44" t="str">
        <x:v>COMPLETE</x:v>
      </x:c>
    </x:row>
    <x:row r="390">
      <x:c r="A390" s="51" t="str">
        <x:v>GSE54514</x:v>
      </x:c>
      <x:c r="B390" s="52" t="str">
        <x:v>SIG034</x:v>
      </x:c>
      <x:c r="C390" s="52" t="str">
        <x:v>SIDT1</x:v>
      </x:c>
      <x:c r="D390" s="56" t="n">
        <x:v>1</x:v>
      </x:c>
      <x:c r="E390" s="52" t="str">
        <x:v>SIDT1</x:v>
      </x:c>
      <x:c r="F390" s="52" t="str">
        <x:v>SIDT1</x:v>
      </x:c>
      <x:c r="G390" s="52" t="str">
        <x:v>NO</x:v>
      </x:c>
      <x:c r="H390" s="60" t="n">
        <x:v>6.970426083</x:v>
      </x:c>
      <x:c r="I390" s="60" t="n">
        <x:v>7.626270294</x:v>
      </x:c>
      <x:c r="J390" s="56" t="n">
        <x:v>0</x:v>
      </x:c>
      <x:c r="K390" s="56" t="n">
        <x:v>0</x:v>
      </x:c>
      <x:c r="L390" s="53" t="str">
        <x:v>COMPLETE</x:v>
      </x:c>
    </x:row>
    <x:row r="391">
      <x:c r="A391" s="42" t="str">
        <x:v>GSE54514</x:v>
      </x:c>
      <x:c r="B391" s="43" t="str">
        <x:v>SIG034</x:v>
      </x:c>
      <x:c r="C391" s="43" t="str">
        <x:v>EXOC2</x:v>
      </x:c>
      <x:c r="D391" s="55" t="n">
        <x:v>2</x:v>
      </x:c>
      <x:c r="E391" s="43" t="str">
        <x:v>EXOC2</x:v>
      </x:c>
      <x:c r="F391" s="43" t="str">
        <x:v>EXOC2</x:v>
      </x:c>
      <x:c r="G391" s="43" t="str">
        <x:v>NO</x:v>
      </x:c>
      <x:c r="H391" s="59" t="n">
        <x:v>7.0370078085</x:v>
      </x:c>
      <x:c r="I391" s="59" t="n">
        <x:v>7.553541898500001</x:v>
      </x:c>
      <x:c r="J391" s="55" t="n">
        <x:v>0</x:v>
      </x:c>
      <x:c r="K391" s="55" t="n">
        <x:v>0</x:v>
      </x:c>
      <x:c r="L391" s="44" t="str">
        <x:v>COMPLETE</x:v>
      </x:c>
    </x:row>
    <x:row r="392">
      <x:c r="A392" s="51" t="str">
        <x:v>GSE54514</x:v>
      </x:c>
      <x:c r="B392" s="52" t="str">
        <x:v>SIG034</x:v>
      </x:c>
      <x:c r="C392" s="52" t="str">
        <x:v>TRIB2</x:v>
      </x:c>
      <x:c r="D392" s="56" t="n">
        <x:v>1</x:v>
      </x:c>
      <x:c r="E392" s="52" t="str">
        <x:v>TRIB2</x:v>
      </x:c>
      <x:c r="F392" s="52" t="str">
        <x:v>TRIB2</x:v>
      </x:c>
      <x:c r="G392" s="52" t="str">
        <x:v>NO</x:v>
      </x:c>
      <x:c r="H392" s="60" t="n">
        <x:v>7.043398857</x:v>
      </x:c>
      <x:c r="I392" s="60" t="n">
        <x:v>8.183493614</x:v>
      </x:c>
      <x:c r="J392" s="56" t="n">
        <x:v>0</x:v>
      </x:c>
      <x:c r="K392" s="56" t="n">
        <x:v>0</x:v>
      </x:c>
      <x:c r="L392" s="53" t="str">
        <x:v>COMPLETE</x:v>
      </x:c>
    </x:row>
    <x:row r="393">
      <x:c r="A393" s="42" t="str">
        <x:v>GSE54514</x:v>
      </x:c>
      <x:c r="B393" s="43" t="str">
        <x:v>SIG034</x:v>
      </x:c>
      <x:c r="C393" s="43" t="str">
        <x:v>KLRB1</x:v>
      </x:c>
      <x:c r="D393" s="55" t="n">
        <x:v>1</x:v>
      </x:c>
      <x:c r="E393" s="43" t="str">
        <x:v>KLRB1</x:v>
      </x:c>
      <x:c r="F393" s="43" t="str">
        <x:v>KLRB1</x:v>
      </x:c>
      <x:c r="G393" s="43" t="str">
        <x:v>NO</x:v>
      </x:c>
      <x:c r="H393" s="59" t="n">
        <x:v>7.230975151</x:v>
      </x:c>
      <x:c r="I393" s="59" t="n">
        <x:v>10.83055115</x:v>
      </x:c>
      <x:c r="J393" s="55" t="n">
        <x:v>0</x:v>
      </x:c>
      <x:c r="K393" s="55" t="n">
        <x:v>0</x:v>
      </x:c>
      <x:c r="L393" s="44" t="str">
        <x:v>COMPLETE</x:v>
      </x:c>
    </x:row>
    <x:row r="394">
      <x:c r="A394" s="51" t="str">
        <x:v>GSE110487</x:v>
      </x:c>
      <x:c r="B394" s="52" t="str">
        <x:v>SIG001</x:v>
      </x:c>
      <x:c r="C394" s="52" t="str">
        <x:v>CEACAM1</x:v>
      </x:c>
      <x:c r="D394" s="56" t="n">
        <x:v>1</x:v>
      </x:c>
      <x:c r="E394" s="52" t="str">
        <x:v>CEACAM1</x:v>
      </x:c>
      <x:c r="F394" s="52" t="str">
        <x:v>CEACAM1</x:v>
      </x:c>
      <x:c r="G394" s="52" t="str">
        <x:v>NO</x:v>
      </x:c>
      <x:c r="H394" s="60" t="n">
        <x:v>6.3897852001133</x:v>
      </x:c>
      <x:c r="I394" s="60" t="n">
        <x:v>12.1820930953265</x:v>
      </x:c>
      <x:c r="J394" s="56" t="n">
        <x:v>0</x:v>
      </x:c>
      <x:c r="K394" s="56" t="n">
        <x:v>0</x:v>
      </x:c>
      <x:c r="L394" s="53" t="str">
        <x:v>COMPLETE</x:v>
      </x:c>
    </x:row>
    <x:row r="395">
      <x:c r="A395" s="42" t="str">
        <x:v>GSE110487</x:v>
      </x:c>
      <x:c r="B395" s="43" t="str">
        <x:v>SIG001</x:v>
      </x:c>
      <x:c r="C395" s="43" t="str">
        <x:v>ZDHHC19</x:v>
      </x:c>
      <x:c r="D395" s="55" t="n">
        <x:v>1</x:v>
      </x:c>
      <x:c r="E395" s="43" t="str">
        <x:v>ZDHHC19</x:v>
      </x:c>
      <x:c r="F395" s="43" t="str">
        <x:v>ZDHHC19</x:v>
      </x:c>
      <x:c r="G395" s="43" t="str">
        <x:v>NO</x:v>
      </x:c>
      <x:c r="H395" s="59" t="n">
        <x:v>3.7792696818987</x:v>
      </x:c>
      <x:c r="I395" s="59" t="n">
        <x:v>8.66980315925315</x:v>
      </x:c>
      <x:c r="J395" s="55" t="n">
        <x:v>0</x:v>
      </x:c>
      <x:c r="K395" s="55" t="n">
        <x:v>0</x:v>
      </x:c>
      <x:c r="L395" s="44" t="str">
        <x:v>COMPLETE</x:v>
      </x:c>
    </x:row>
    <x:row r="396">
      <x:c r="A396" s="51" t="str">
        <x:v>GSE110487</x:v>
      </x:c>
      <x:c r="B396" s="52" t="str">
        <x:v>SIG001</x:v>
      </x:c>
      <x:c r="C396" s="52" t="str">
        <x:v>NMRK1</x:v>
      </x:c>
      <x:c r="D396" s="56" t="n">
        <x:v>1</x:v>
      </x:c>
      <x:c r="E396" s="52" t="str">
        <x:v>NMRK1</x:v>
      </x:c>
      <x:c r="F396" s="52" t="str">
        <x:v>NMRK1</x:v>
      </x:c>
      <x:c r="G396" s="52" t="str">
        <x:v>NO</x:v>
      </x:c>
      <x:c r="H396" s="60" t="n">
        <x:v>7.56072526456993</x:v>
      </x:c>
      <x:c r="I396" s="60" t="n">
        <x:v>9.31190261293266</x:v>
      </x:c>
      <x:c r="J396" s="56" t="n">
        <x:v>0</x:v>
      </x:c>
      <x:c r="K396" s="56" t="n">
        <x:v>0</x:v>
      </x:c>
      <x:c r="L396" s="53" t="str">
        <x:v>COMPLETE</x:v>
      </x:c>
    </x:row>
    <x:row r="397">
      <x:c r="A397" s="42" t="str">
        <x:v>GSE110487</x:v>
      </x:c>
      <x:c r="B397" s="43" t="str">
        <x:v>SIG001</x:v>
      </x:c>
      <x:c r="C397" s="43" t="str">
        <x:v>GNA15</x:v>
      </x:c>
      <x:c r="D397" s="55" t="n">
        <x:v>1</x:v>
      </x:c>
      <x:c r="E397" s="43" t="str">
        <x:v>GNA15</x:v>
      </x:c>
      <x:c r="F397" s="43" t="str">
        <x:v>GNA15</x:v>
      </x:c>
      <x:c r="G397" s="43" t="str">
        <x:v>NO</x:v>
      </x:c>
      <x:c r="H397" s="59" t="n">
        <x:v>7.38394473701054</x:v>
      </x:c>
      <x:c r="I397" s="59" t="n">
        <x:v>10.5117027160092</x:v>
      </x:c>
      <x:c r="J397" s="55" t="n">
        <x:v>0</x:v>
      </x:c>
      <x:c r="K397" s="55" t="n">
        <x:v>0</x:v>
      </x:c>
      <x:c r="L397" s="44" t="str">
        <x:v>COMPLETE</x:v>
      </x:c>
    </x:row>
    <x:row r="398">
      <x:c r="A398" s="51" t="str">
        <x:v>GSE110487</x:v>
      </x:c>
      <x:c r="B398" s="52" t="str">
        <x:v>SIG001</x:v>
      </x:c>
      <x:c r="C398" s="52" t="str">
        <x:v>BATF</x:v>
      </x:c>
      <x:c r="D398" s="56" t="n">
        <x:v>1</x:v>
      </x:c>
      <x:c r="E398" s="52" t="str">
        <x:v>BATF</x:v>
      </x:c>
      <x:c r="F398" s="52" t="str">
        <x:v>BATF</x:v>
      </x:c>
      <x:c r="G398" s="52" t="str">
        <x:v>NO</x:v>
      </x:c>
      <x:c r="H398" s="60" t="n">
        <x:v>6.91657065202056</x:v>
      </x:c>
      <x:c r="I398" s="60" t="n">
        <x:v>9.40432608346701</x:v>
      </x:c>
      <x:c r="J398" s="56" t="n">
        <x:v>0</x:v>
      </x:c>
      <x:c r="K398" s="56" t="n">
        <x:v>0</x:v>
      </x:c>
      <x:c r="L398" s="53" t="str">
        <x:v>COMPLETE</x:v>
      </x:c>
    </x:row>
    <x:row r="399">
      <x:c r="A399" s="42" t="str">
        <x:v>GSE110487</x:v>
      </x:c>
      <x:c r="B399" s="43" t="str">
        <x:v>SIG001</x:v>
      </x:c>
      <x:c r="C399" s="43" t="str">
        <x:v>C3AR1</x:v>
      </x:c>
      <x:c r="D399" s="55" t="n">
        <x:v>1</x:v>
      </x:c>
      <x:c r="E399" s="43" t="str">
        <x:v>C3AR1</x:v>
      </x:c>
      <x:c r="F399" s="43" t="str">
        <x:v>C3AR1</x:v>
      </x:c>
      <x:c r="G399" s="43" t="str">
        <x:v>NO</x:v>
      </x:c>
      <x:c r="H399" s="59" t="n">
        <x:v>7.24203749368249</x:v>
      </x:c>
      <x:c r="I399" s="59" t="n">
        <x:v>12.3637072807763</x:v>
      </x:c>
      <x:c r="J399" s="55" t="n">
        <x:v>0</x:v>
      </x:c>
      <x:c r="K399" s="55" t="n">
        <x:v>0</x:v>
      </x:c>
      <x:c r="L399" s="44" t="str">
        <x:v>COMPLETE</x:v>
      </x:c>
    </x:row>
    <x:row r="400">
      <x:c r="A400" s="51" t="str">
        <x:v>GSE110487</x:v>
      </x:c>
      <x:c r="B400" s="52" t="str">
        <x:v>SIG001</x:v>
      </x:c>
      <x:c r="C400" s="52" t="str">
        <x:v>FAM214A</x:v>
      </x:c>
      <x:c r="D400" s="56" t="n">
        <x:v>1</x:v>
      </x:c>
      <x:c r="E400" s="52" t="str">
        <x:v>FAM214A</x:v>
      </x:c>
      <x:c r="F400" s="52" t="str">
        <x:v>FAM214A</x:v>
      </x:c>
      <x:c r="G400" s="52" t="str">
        <x:v>NO</x:v>
      </x:c>
      <x:c r="H400" s="60" t="n">
        <x:v>7.64182078516492</x:v>
      </x:c>
      <x:c r="I400" s="60" t="n">
        <x:v>9.3783886431344</x:v>
      </x:c>
      <x:c r="J400" s="56" t="n">
        <x:v>0</x:v>
      </x:c>
      <x:c r="K400" s="56" t="n">
        <x:v>0</x:v>
      </x:c>
      <x:c r="L400" s="53" t="str">
        <x:v>COMPLETE</x:v>
      </x:c>
    </x:row>
    <x:row r="401">
      <x:c r="A401" s="42" t="str">
        <x:v>GSE110487</x:v>
      </x:c>
      <x:c r="B401" s="43" t="str">
        <x:v>SIG001</x:v>
      </x:c>
      <x:c r="C401" s="43" t="str">
        <x:v>TGFBI</x:v>
      </x:c>
      <x:c r="D401" s="55" t="n">
        <x:v>1</x:v>
      </x:c>
      <x:c r="E401" s="43" t="str">
        <x:v>TGFBI</x:v>
      </x:c>
      <x:c r="F401" s="43" t="str">
        <x:v>TGFBI</x:v>
      </x:c>
      <x:c r="G401" s="43" t="str">
        <x:v>NO</x:v>
      </x:c>
      <x:c r="H401" s="59" t="n">
        <x:v>6.54584652044186</x:v>
      </x:c>
      <x:c r="I401" s="59" t="n">
        <x:v>10.7527121192884</x:v>
      </x:c>
      <x:c r="J401" s="55" t="n">
        <x:v>0</x:v>
      </x:c>
      <x:c r="K401" s="55" t="n">
        <x:v>0</x:v>
      </x:c>
      <x:c r="L401" s="44" t="str">
        <x:v>COMPLETE</x:v>
      </x:c>
    </x:row>
    <x:row r="402">
      <x:c r="A402" s="51" t="str">
        <x:v>GSE110487</x:v>
      </x:c>
      <x:c r="B402" s="52" t="str">
        <x:v>SIG001</x:v>
      </x:c>
      <x:c r="C402" s="52" t="str">
        <x:v>MTCH1</x:v>
      </x:c>
      <x:c r="D402" s="56" t="n">
        <x:v>1</x:v>
      </x:c>
      <x:c r="E402" s="52" t="str">
        <x:v>MTCH1</x:v>
      </x:c>
      <x:c r="F402" s="52" t="str">
        <x:v>MTCH1</x:v>
      </x:c>
      <x:c r="G402" s="52" t="str">
        <x:v>NO</x:v>
      </x:c>
      <x:c r="H402" s="60" t="n">
        <x:v>8.2976915460766</x:v>
      </x:c>
      <x:c r="I402" s="60" t="n">
        <x:v>9.94070162864973</x:v>
      </x:c>
      <x:c r="J402" s="56" t="n">
        <x:v>0</x:v>
      </x:c>
      <x:c r="K402" s="56" t="n">
        <x:v>0</x:v>
      </x:c>
      <x:c r="L402" s="53" t="str">
        <x:v>COMPLETE</x:v>
      </x:c>
    </x:row>
    <x:row r="403">
      <x:c r="A403" s="42" t="str">
        <x:v>GSE110487</x:v>
      </x:c>
      <x:c r="B403" s="43" t="str">
        <x:v>SIG001</x:v>
      </x:c>
      <x:c r="C403" s="43" t="str">
        <x:v>RPGRIP1</x:v>
      </x:c>
      <x:c r="D403" s="55" t="n">
        <x:v>1</x:v>
      </x:c>
      <x:c r="E403" s="43" t="str">
        <x:v>RPGRIP1</x:v>
      </x:c>
      <x:c r="F403" s="43" t="str">
        <x:v>RPGRIP1</x:v>
      </x:c>
      <x:c r="G403" s="43" t="str">
        <x:v>NO</x:v>
      </x:c>
      <x:c r="H403" s="59" t="n">
        <x:v>2.03635278336469</x:v>
      </x:c>
      <x:c r="I403" s="59" t="n">
        <x:v>6.54176924561389</x:v>
      </x:c>
      <x:c r="J403" s="55" t="n">
        <x:v>0</x:v>
      </x:c>
      <x:c r="K403" s="55" t="n">
        <x:v>0</x:v>
      </x:c>
      <x:c r="L403" s="44" t="str">
        <x:v>COMPLETE</x:v>
      </x:c>
    </x:row>
    <x:row r="404">
      <x:c r="A404" s="51" t="str">
        <x:v>GSE110487</x:v>
      </x:c>
      <x:c r="B404" s="52" t="str">
        <x:v>SIG001</x:v>
      </x:c>
      <x:c r="C404" s="52" t="str">
        <x:v>HLA-DPB1</x:v>
      </x:c>
      <x:c r="D404" s="56" t="n">
        <x:v>2</x:v>
      </x:c>
      <x:c r="E404" s="52" t="str">
        <x:v>HLA-DPB1</x:v>
      </x:c>
      <x:c r="F404" s="52" t="str">
        <x:v>HLA-DPB1</x:v>
      </x:c>
      <x:c r="G404" s="52" t="str">
        <x:v>NO</x:v>
      </x:c>
      <x:c r="H404" s="60" t="n">
        <x:v>8.13402907421356</x:v>
      </x:c>
      <x:c r="I404" s="60" t="n">
        <x:v>12.0906792611449</x:v>
      </x:c>
      <x:c r="J404" s="56" t="n">
        <x:v>0</x:v>
      </x:c>
      <x:c r="K404" s="56" t="n">
        <x:v>0</x:v>
      </x:c>
      <x:c r="L404" s="53" t="str">
        <x:v>COMPLETE</x:v>
      </x:c>
    </x:row>
    <x:row r="405">
      <x:c r="A405" s="42" t="str">
        <x:v>GSE110487</x:v>
      </x:c>
      <x:c r="B405" s="43" t="str">
        <x:v>SIG002</x:v>
      </x:c>
      <x:c r="C405" s="43" t="str">
        <x:v>PLAC8</x:v>
      </x:c>
      <x:c r="D405" s="55" t="n">
        <x:v>2</x:v>
      </x:c>
      <x:c r="E405" s="43" t="str">
        <x:v>PLAC8</x:v>
      </x:c>
      <x:c r="F405" s="43" t="str">
        <x:v>PLAC8</x:v>
      </x:c>
      <x:c r="G405" s="43" t="str">
        <x:v>NO</x:v>
      </x:c>
      <x:c r="H405" s="59" t="n">
        <x:v>9.27099615328227</x:v>
      </x:c>
      <x:c r="I405" s="59" t="n">
        <x:v>14.2792233619245</x:v>
      </x:c>
      <x:c r="J405" s="55" t="n">
        <x:v>0</x:v>
      </x:c>
      <x:c r="K405" s="55" t="n">
        <x:v>0</x:v>
      </x:c>
      <x:c r="L405" s="44" t="str">
        <x:v>COMPLETE</x:v>
      </x:c>
    </x:row>
    <x:row r="406">
      <x:c r="A406" s="51" t="str">
        <x:v>GSE110487</x:v>
      </x:c>
      <x:c r="B406" s="52" t="str">
        <x:v>SIG002</x:v>
      </x:c>
      <x:c r="C406" s="52" t="str">
        <x:v>LAMP1</x:v>
      </x:c>
      <x:c r="D406" s="56" t="n">
        <x:v>1</x:v>
      </x:c>
      <x:c r="E406" s="52" t="str">
        <x:v>LAMP1</x:v>
      </x:c>
      <x:c r="F406" s="52" t="str">
        <x:v>LAMP1</x:v>
      </x:c>
      <x:c r="G406" s="52" t="str">
        <x:v>NO</x:v>
      </x:c>
      <x:c r="H406" s="60" t="n">
        <x:v>9.87583766606325</x:v>
      </x:c>
      <x:c r="I406" s="60" t="n">
        <x:v>12.3011693661173</x:v>
      </x:c>
      <x:c r="J406" s="56" t="n">
        <x:v>0</x:v>
      </x:c>
      <x:c r="K406" s="56" t="n">
        <x:v>0</x:v>
      </x:c>
      <x:c r="L406" s="53" t="str">
        <x:v>COMPLETE</x:v>
      </x:c>
    </x:row>
    <x:row r="407">
      <x:c r="A407" s="42" t="str">
        <x:v>GSE110487</x:v>
      </x:c>
      <x:c r="B407" s="43" t="str">
        <x:v>SIG002</x:v>
      </x:c>
      <x:c r="C407" s="43" t="str">
        <x:v>PLA2G7</x:v>
      </x:c>
      <x:c r="D407" s="55" t="n">
        <x:v>1</x:v>
      </x:c>
      <x:c r="E407" s="43" t="str">
        <x:v>PLA2G7</x:v>
      </x:c>
      <x:c r="F407" s="43" t="str">
        <x:v>PLA2G7</x:v>
      </x:c>
      <x:c r="G407" s="43" t="str">
        <x:v>NO</x:v>
      </x:c>
      <x:c r="H407" s="59" t="n">
        <x:v>3.36510969841003</x:v>
      </x:c>
      <x:c r="I407" s="59" t="n">
        <x:v>7.64366614313606</x:v>
      </x:c>
      <x:c r="J407" s="55" t="n">
        <x:v>0</x:v>
      </x:c>
      <x:c r="K407" s="55" t="n">
        <x:v>0</x:v>
      </x:c>
      <x:c r="L407" s="44" t="str">
        <x:v>COMPLETE</x:v>
      </x:c>
    </x:row>
    <x:row r="408">
      <x:c r="A408" s="51" t="str">
        <x:v>GSE110487</x:v>
      </x:c>
      <x:c r="B408" s="52" t="str">
        <x:v>SIG002</x:v>
      </x:c>
      <x:c r="C408" s="52" t="str">
        <x:v>CEACAM4</x:v>
      </x:c>
      <x:c r="D408" s="56" t="n">
        <x:v>1</x:v>
      </x:c>
      <x:c r="E408" s="52" t="str">
        <x:v>CEACAM4</x:v>
      </x:c>
      <x:c r="F408" s="52" t="str">
        <x:v>CEACAM4</x:v>
      </x:c>
      <x:c r="G408" s="52" t="str">
        <x:v>NO</x:v>
      </x:c>
      <x:c r="H408" s="60" t="n">
        <x:v>7.68117226798785</x:v>
      </x:c>
      <x:c r="I408" s="60" t="n">
        <x:v>11.0793606184239</x:v>
      </x:c>
      <x:c r="J408" s="56" t="n">
        <x:v>0</x:v>
      </x:c>
      <x:c r="K408" s="56" t="n">
        <x:v>0</x:v>
      </x:c>
      <x:c r="L408" s="53" t="str">
        <x:v>COMPLETE</x:v>
      </x:c>
    </x:row>
    <x:row r="409">
      <x:c r="A409" s="42" t="str">
        <x:v>GSE110487</x:v>
      </x:c>
      <x:c r="B409" s="43" t="str">
        <x:v>SIG003</x:v>
      </x:c>
      <x:c r="C409" s="43" t="str">
        <x:v>FAIM3</x:v>
      </x:c>
      <x:c r="D409" s="55" t="n">
        <x:v>1</x:v>
      </x:c>
      <x:c r="E409" s="43" t="str">
        <x:v>FAIM3</x:v>
      </x:c>
      <x:c r="F409" s="43" t="str">
        <x:v>FAIM3</x:v>
      </x:c>
      <x:c r="G409" s="43" t="str">
        <x:v>NO</x:v>
      </x:c>
      <x:c r="H409" s="59" t="n">
        <x:v>4.22425640947332</x:v>
      </x:c>
      <x:c r="I409" s="59" t="n">
        <x:v>7.2480109672154</x:v>
      </x:c>
      <x:c r="J409" s="55" t="n">
        <x:v>0</x:v>
      </x:c>
      <x:c r="K409" s="55" t="n">
        <x:v>0</x:v>
      </x:c>
      <x:c r="L409" s="44" t="str">
        <x:v>COMPLETE</x:v>
      </x:c>
    </x:row>
    <x:row r="410">
      <x:c r="A410" s="51" t="str">
        <x:v>GSE110487</x:v>
      </x:c>
      <x:c r="B410" s="52" t="str">
        <x:v>SIG003</x:v>
      </x:c>
      <x:c r="C410" s="52" t="str">
        <x:v>PLAC8</x:v>
      </x:c>
      <x:c r="D410" s="56" t="n">
        <x:v>2</x:v>
      </x:c>
      <x:c r="E410" s="52" t="str">
        <x:v>PLAC8</x:v>
      </x:c>
      <x:c r="F410" s="52" t="str">
        <x:v>PLAC8</x:v>
      </x:c>
      <x:c r="G410" s="52" t="str">
        <x:v>NO</x:v>
      </x:c>
      <x:c r="H410" s="60" t="n">
        <x:v>9.27099615328227</x:v>
      </x:c>
      <x:c r="I410" s="60" t="n">
        <x:v>14.2792233619245</x:v>
      </x:c>
      <x:c r="J410" s="56" t="n">
        <x:v>0</x:v>
      </x:c>
      <x:c r="K410" s="56" t="n">
        <x:v>0</x:v>
      </x:c>
      <x:c r="L410" s="53" t="str">
        <x:v>COMPLETE</x:v>
      </x:c>
    </x:row>
    <x:row r="411">
      <x:c r="A411" s="42" t="str">
        <x:v>GSE110487</x:v>
      </x:c>
      <x:c r="B411" s="43" t="str">
        <x:v>SIG004</x:v>
      </x:c>
      <x:c r="C411" s="43" t="str">
        <x:v>NLRP1</x:v>
      </x:c>
      <x:c r="D411" s="55" t="n">
        <x:v>1</x:v>
      </x:c>
      <x:c r="E411" s="43" t="str">
        <x:v>NLRP1</x:v>
      </x:c>
      <x:c r="F411" s="43" t="str">
        <x:v>NLRP1</x:v>
      </x:c>
      <x:c r="G411" s="43" t="str">
        <x:v>NO</x:v>
      </x:c>
      <x:c r="H411" s="59" t="n">
        <x:v>5.97468911305871</x:v>
      </x:c>
      <x:c r="I411" s="59" t="n">
        <x:v>10.6469951532996</x:v>
      </x:c>
      <x:c r="J411" s="55" t="n">
        <x:v>0</x:v>
      </x:c>
      <x:c r="K411" s="55" t="n">
        <x:v>0</x:v>
      </x:c>
      <x:c r="L411" s="44" t="str">
        <x:v>COMPLETE</x:v>
      </x:c>
    </x:row>
    <x:row r="412">
      <x:c r="A412" s="51" t="str">
        <x:v>GSE110487</x:v>
      </x:c>
      <x:c r="B412" s="52" t="str">
        <x:v>SIG004</x:v>
      </x:c>
      <x:c r="C412" s="52" t="str">
        <x:v>IDNK</x:v>
      </x:c>
      <x:c r="D412" s="56" t="n">
        <x:v>1</x:v>
      </x:c>
      <x:c r="E412" s="52" t="str">
        <x:v>IDNK</x:v>
      </x:c>
      <x:c r="F412" s="52" t="str">
        <x:v>IDNK</x:v>
      </x:c>
      <x:c r="G412" s="52" t="str">
        <x:v>NO</x:v>
      </x:c>
      <x:c r="H412" s="60" t="n">
        <x:v>4.8435786864492</x:v>
      </x:c>
      <x:c r="I412" s="60" t="n">
        <x:v>9.72347792540397</x:v>
      </x:c>
      <x:c r="J412" s="56" t="n">
        <x:v>0</x:v>
      </x:c>
      <x:c r="K412" s="56" t="n">
        <x:v>0</x:v>
      </x:c>
      <x:c r="L412" s="53" t="str">
        <x:v>COMPLETE</x:v>
      </x:c>
    </x:row>
    <x:row r="413">
      <x:c r="A413" s="42" t="str">
        <x:v>GSE110487</x:v>
      </x:c>
      <x:c r="B413" s="43" t="str">
        <x:v>SIG004</x:v>
      </x:c>
      <x:c r="C413" s="43" t="str">
        <x:v>PLAC8</x:v>
      </x:c>
      <x:c r="D413" s="55" t="n">
        <x:v>2</x:v>
      </x:c>
      <x:c r="E413" s="43" t="str">
        <x:v>PLAC8</x:v>
      </x:c>
      <x:c r="F413" s="43" t="str">
        <x:v>PLAC8</x:v>
      </x:c>
      <x:c r="G413" s="43" t="str">
        <x:v>NO</x:v>
      </x:c>
      <x:c r="H413" s="59" t="n">
        <x:v>9.27099615328227</x:v>
      </x:c>
      <x:c r="I413" s="59" t="n">
        <x:v>14.2792233619245</x:v>
      </x:c>
      <x:c r="J413" s="55" t="n">
        <x:v>0</x:v>
      </x:c>
      <x:c r="K413" s="55" t="n">
        <x:v>0</x:v>
      </x:c>
      <x:c r="L413" s="44" t="str">
        <x:v>COMPLETE</x:v>
      </x:c>
    </x:row>
    <x:row r="414">
      <x:c r="A414" s="51" t="str">
        <x:v>GSE110487</x:v>
      </x:c>
      <x:c r="B414" s="52" t="str">
        <x:v>SIG022</x:v>
      </x:c>
      <x:c r="C414" s="52" t="str">
        <x:v>IFI27</x:v>
      </x:c>
      <x:c r="D414" s="56" t="n">
        <x:v>1</x:v>
      </x:c>
      <x:c r="E414" s="52" t="str">
        <x:v>IFI27</x:v>
      </x:c>
      <x:c r="F414" s="52" t="str">
        <x:v>IFI27</x:v>
      </x:c>
      <x:c r="G414" s="52" t="str">
        <x:v>NO</x:v>
      </x:c>
      <x:c r="H414" s="60" t="n">
        <x:v>3.81939978458839</x:v>
      </x:c>
      <x:c r="I414" s="60" t="n">
        <x:v>13.4238368005833</x:v>
      </x:c>
      <x:c r="J414" s="56" t="n">
        <x:v>0</x:v>
      </x:c>
      <x:c r="K414" s="56" t="n">
        <x:v>0</x:v>
      </x:c>
      <x:c r="L414" s="53" t="str">
        <x:v>COMPLETE</x:v>
      </x:c>
    </x:row>
    <x:row r="415">
      <x:c r="A415" s="42" t="str">
        <x:v>GSE110487</x:v>
      </x:c>
      <x:c r="B415" s="43" t="str">
        <x:v>SIG022</x:v>
      </x:c>
      <x:c r="C415" s="43" t="str">
        <x:v>JUP</x:v>
      </x:c>
      <x:c r="D415" s="55" t="n">
        <x:v>1</x:v>
      </x:c>
      <x:c r="E415" s="43" t="str">
        <x:v>JUP</x:v>
      </x:c>
      <x:c r="F415" s="43" t="str">
        <x:v>JUP</x:v>
      </x:c>
      <x:c r="G415" s="43" t="str">
        <x:v>NO</x:v>
      </x:c>
      <x:c r="H415" s="59" t="n">
        <x:v>2.03635278336469</x:v>
      </x:c>
      <x:c r="I415" s="59" t="n">
        <x:v>10.0161131616627</x:v>
      </x:c>
      <x:c r="J415" s="55" t="n">
        <x:v>0</x:v>
      </x:c>
      <x:c r="K415" s="55" t="n">
        <x:v>0</x:v>
      </x:c>
      <x:c r="L415" s="44" t="str">
        <x:v>COMPLETE</x:v>
      </x:c>
    </x:row>
    <x:row r="416">
      <x:c r="A416" s="51" t="str">
        <x:v>GSE110487</x:v>
      </x:c>
      <x:c r="B416" s="52" t="str">
        <x:v>SIG022</x:v>
      </x:c>
      <x:c r="C416" s="52" t="str">
        <x:v>LAX1</x:v>
      </x:c>
      <x:c r="D416" s="56" t="n">
        <x:v>1</x:v>
      </x:c>
      <x:c r="E416" s="52" t="str">
        <x:v>LAX1</x:v>
      </x:c>
      <x:c r="F416" s="52" t="str">
        <x:v>LAX1</x:v>
      </x:c>
      <x:c r="G416" s="52" t="str">
        <x:v>NO</x:v>
      </x:c>
      <x:c r="H416" s="60" t="n">
        <x:v>4.04534768529968</x:v>
      </x:c>
      <x:c r="I416" s="60" t="n">
        <x:v>7.73436520125816</x:v>
      </x:c>
      <x:c r="J416" s="56" t="n">
        <x:v>0</x:v>
      </x:c>
      <x:c r="K416" s="56" t="n">
        <x:v>0</x:v>
      </x:c>
      <x:c r="L416" s="53" t="str">
        <x:v>COMPLETE</x:v>
      </x:c>
    </x:row>
    <x:row r="417">
      <x:c r="A417" s="42" t="str">
        <x:v>GSE110487</x:v>
      </x:c>
      <x:c r="B417" s="43" t="str">
        <x:v>SIG022</x:v>
      </x:c>
      <x:c r="C417" s="43" t="str">
        <x:v>HK3</x:v>
      </x:c>
      <x:c r="D417" s="55" t="n">
        <x:v>2</x:v>
      </x:c>
      <x:c r="E417" s="43" t="str">
        <x:v>HK3</x:v>
      </x:c>
      <x:c r="F417" s="43" t="str">
        <x:v>HK3</x:v>
      </x:c>
      <x:c r="G417" s="43" t="str">
        <x:v>NO</x:v>
      </x:c>
      <x:c r="H417" s="59" t="n">
        <x:v>11.8739257303137</x:v>
      </x:c>
      <x:c r="I417" s="59" t="n">
        <x:v>14.8023938724297</x:v>
      </x:c>
      <x:c r="J417" s="55" t="n">
        <x:v>0</x:v>
      </x:c>
      <x:c r="K417" s="55" t="n">
        <x:v>0</x:v>
      </x:c>
      <x:c r="L417" s="44" t="str">
        <x:v>COMPLETE</x:v>
      </x:c>
    </x:row>
    <x:row r="418">
      <x:c r="A418" s="51" t="str">
        <x:v>GSE110487</x:v>
      </x:c>
      <x:c r="B418" s="52" t="str">
        <x:v>SIG022</x:v>
      </x:c>
      <x:c r="C418" s="52" t="str">
        <x:v>TNIP1</x:v>
      </x:c>
      <x:c r="D418" s="56" t="n">
        <x:v>1</x:v>
      </x:c>
      <x:c r="E418" s="52" t="str">
        <x:v>TNIP1</x:v>
      </x:c>
      <x:c r="F418" s="52" t="str">
        <x:v>TNIP1</x:v>
      </x:c>
      <x:c r="G418" s="52" t="str">
        <x:v>NO</x:v>
      </x:c>
      <x:c r="H418" s="60" t="n">
        <x:v>8.67961573050236</x:v>
      </x:c>
      <x:c r="I418" s="60" t="n">
        <x:v>11.6081231932239</x:v>
      </x:c>
      <x:c r="J418" s="56" t="n">
        <x:v>0</x:v>
      </x:c>
      <x:c r="K418" s="56" t="n">
        <x:v>0</x:v>
      </x:c>
      <x:c r="L418" s="53" t="str">
        <x:v>COMPLETE</x:v>
      </x:c>
    </x:row>
    <x:row r="419">
      <x:c r="A419" s="42" t="str">
        <x:v>GSE110487</x:v>
      </x:c>
      <x:c r="B419" s="43" t="str">
        <x:v>SIG022</x:v>
      </x:c>
      <x:c r="C419" s="43" t="str">
        <x:v>GPAA1</x:v>
      </x:c>
      <x:c r="D419" s="55" t="n">
        <x:v>1</x:v>
      </x:c>
      <x:c r="E419" s="43" t="str">
        <x:v>GPAA1</x:v>
      </x:c>
      <x:c r="F419" s="43" t="str">
        <x:v>GPAA1</x:v>
      </x:c>
      <x:c r="G419" s="43" t="str">
        <x:v>NO</x:v>
      </x:c>
      <x:c r="H419" s="59" t="n">
        <x:v>6.28918240601414</x:v>
      </x:c>
      <x:c r="I419" s="59" t="n">
        <x:v>8.57643858488565</x:v>
      </x:c>
      <x:c r="J419" s="55" t="n">
        <x:v>0</x:v>
      </x:c>
      <x:c r="K419" s="55" t="n">
        <x:v>0</x:v>
      </x:c>
      <x:c r="L419" s="44" t="str">
        <x:v>COMPLETE</x:v>
      </x:c>
    </x:row>
    <x:row r="420">
      <x:c r="A420" s="51" t="str">
        <x:v>GSE110487</x:v>
      </x:c>
      <x:c r="B420" s="52" t="str">
        <x:v>SIG022</x:v>
      </x:c>
      <x:c r="C420" s="52" t="str">
        <x:v>CTSB</x:v>
      </x:c>
      <x:c r="D420" s="56" t="n">
        <x:v>1</x:v>
      </x:c>
      <x:c r="E420" s="52" t="str">
        <x:v>CTSB</x:v>
      </x:c>
      <x:c r="F420" s="52" t="str">
        <x:v>CTSB</x:v>
      </x:c>
      <x:c r="G420" s="52" t="str">
        <x:v>NO</x:v>
      </x:c>
      <x:c r="H420" s="60" t="n">
        <x:v>11.1450088040629</x:v>
      </x:c>
      <x:c r="I420" s="60" t="n">
        <x:v>14.0854363700276</x:v>
      </x:c>
      <x:c r="J420" s="56" t="n">
        <x:v>0</x:v>
      </x:c>
      <x:c r="K420" s="56" t="n">
        <x:v>0</x:v>
      </x:c>
      <x:c r="L420" s="53" t="str">
        <x:v>COMPLETE</x:v>
      </x:c>
    </x:row>
    <x:row r="421">
      <x:c r="A421" s="42" t="str">
        <x:v>GSE110487</x:v>
      </x:c>
      <x:c r="B421" s="43" t="str">
        <x:v>SIG023</x:v>
      </x:c>
      <x:c r="C421" s="43" t="str">
        <x:v>FAM89A</x:v>
      </x:c>
      <x:c r="D421" s="55" t="n">
        <x:v>1</x:v>
      </x:c>
      <x:c r="E421" s="43" t="str">
        <x:v>FAM89A</x:v>
      </x:c>
      <x:c r="F421" s="43" t="str">
        <x:v>FAM89A</x:v>
      </x:c>
      <x:c r="G421" s="43" t="str">
        <x:v>NO</x:v>
      </x:c>
      <x:c r="H421" s="59" t="n">
        <x:v>5.07850307090903</x:v>
      </x:c>
      <x:c r="I421" s="59" t="n">
        <x:v>9.40335036325453</x:v>
      </x:c>
      <x:c r="J421" s="55" t="n">
        <x:v>0</x:v>
      </x:c>
      <x:c r="K421" s="55" t="n">
        <x:v>0</x:v>
      </x:c>
      <x:c r="L421" s="44" t="str">
        <x:v>COMPLETE</x:v>
      </x:c>
    </x:row>
    <x:row r="422">
      <x:c r="A422" s="51" t="str">
        <x:v>GSE110487</x:v>
      </x:c>
      <x:c r="B422" s="52" t="str">
        <x:v>SIG023</x:v>
      </x:c>
      <x:c r="C422" s="52" t="str">
        <x:v>IFI44L</x:v>
      </x:c>
      <x:c r="D422" s="56" t="n">
        <x:v>1</x:v>
      </x:c>
      <x:c r="E422" s="52" t="str">
        <x:v>IFI44L</x:v>
      </x:c>
      <x:c r="F422" s="52" t="str">
        <x:v>IFI44L</x:v>
      </x:c>
      <x:c r="G422" s="52" t="str">
        <x:v>NO</x:v>
      </x:c>
      <x:c r="H422" s="60" t="n">
        <x:v>3.70171287766416</x:v>
      </x:c>
      <x:c r="I422" s="60" t="n">
        <x:v>14.9156735903365</x:v>
      </x:c>
      <x:c r="J422" s="56" t="n">
        <x:v>0</x:v>
      </x:c>
      <x:c r="K422" s="56" t="n">
        <x:v>0</x:v>
      </x:c>
      <x:c r="L422" s="53" t="str">
        <x:v>COMPLETE</x:v>
      </x:c>
    </x:row>
    <x:row r="423">
      <x:c r="A423" s="42" t="str">
        <x:v>GSE110487</x:v>
      </x:c>
      <x:c r="B423" s="43" t="str">
        <x:v>SIG033</x:v>
      </x:c>
      <x:c r="C423" s="43" t="str">
        <x:v>ADRB2</x:v>
      </x:c>
      <x:c r="D423" s="55" t="n">
        <x:v>1</x:v>
      </x:c>
      <x:c r="E423" s="43" t="str">
        <x:v>ADRB2</x:v>
      </x:c>
      <x:c r="F423" s="43" t="str">
        <x:v>ADRB2</x:v>
      </x:c>
      <x:c r="G423" s="43" t="str">
        <x:v>NO</x:v>
      </x:c>
      <x:c r="H423" s="59" t="n">
        <x:v>6.79912146867089</x:v>
      </x:c>
      <x:c r="I423" s="59" t="n">
        <x:v>8.62057647411863</x:v>
      </x:c>
      <x:c r="J423" s="55" t="n">
        <x:v>0</x:v>
      </x:c>
      <x:c r="K423" s="55" t="n">
        <x:v>0</x:v>
      </x:c>
      <x:c r="L423" s="44" t="str">
        <x:v>COMPLETE</x:v>
      </x:c>
    </x:row>
    <x:row r="424">
      <x:c r="A424" s="51" t="str">
        <x:v>GSE110487</x:v>
      </x:c>
      <x:c r="B424" s="52" t="str">
        <x:v>SIG033</x:v>
      </x:c>
      <x:c r="C424" s="52" t="str">
        <x:v>CTSG</x:v>
      </x:c>
      <x:c r="D424" s="56" t="n">
        <x:v>1</x:v>
      </x:c>
      <x:c r="E424" s="52" t="str">
        <x:v>CTSG</x:v>
      </x:c>
      <x:c r="F424" s="52" t="str">
        <x:v>CTSG</x:v>
      </x:c>
      <x:c r="G424" s="52" t="str">
        <x:v>NO</x:v>
      </x:c>
      <x:c r="H424" s="60" t="n">
        <x:v>3.34657148103644</x:v>
      </x:c>
      <x:c r="I424" s="60" t="n">
        <x:v>10.4463543128401</x:v>
      </x:c>
      <x:c r="J424" s="56" t="n">
        <x:v>0</x:v>
      </x:c>
      <x:c r="K424" s="56" t="n">
        <x:v>0</x:v>
      </x:c>
      <x:c r="L424" s="53" t="str">
        <x:v>COMPLETE</x:v>
      </x:c>
    </x:row>
    <x:row r="425">
      <x:c r="A425" s="42" t="str">
        <x:v>GSE110487</x:v>
      </x:c>
      <x:c r="B425" s="43" t="str">
        <x:v>SIG033</x:v>
      </x:c>
      <x:c r="C425" s="43" t="str">
        <x:v>CX3CR1</x:v>
      </x:c>
      <x:c r="D425" s="55" t="n">
        <x:v>1</x:v>
      </x:c>
      <x:c r="E425" s="43" t="str">
        <x:v>CX3CR1</x:v>
      </x:c>
      <x:c r="F425" s="43" t="str">
        <x:v>CX3CR1</x:v>
      </x:c>
      <x:c r="G425" s="43" t="str">
        <x:v>NO</x:v>
      </x:c>
      <x:c r="H425" s="59" t="n">
        <x:v>6.43169907321329</x:v>
      </x:c>
      <x:c r="I425" s="59" t="n">
        <x:v>11.365031882531</x:v>
      </x:c>
      <x:c r="J425" s="55" t="n">
        <x:v>0</x:v>
      </x:c>
      <x:c r="K425" s="55" t="n">
        <x:v>0</x:v>
      </x:c>
      <x:c r="L425" s="44" t="str">
        <x:v>COMPLETE</x:v>
      </x:c>
    </x:row>
    <x:row r="426">
      <x:c r="A426" s="51" t="str">
        <x:v>GSE110487</x:v>
      </x:c>
      <x:c r="B426" s="52" t="str">
        <x:v>SIG033</x:v>
      </x:c>
      <x:c r="C426" s="52" t="str">
        <x:v>CXCR6</x:v>
      </x:c>
      <x:c r="D426" s="56" t="n">
        <x:v>1</x:v>
      </x:c>
      <x:c r="E426" s="52" t="str">
        <x:v>CXCR6</x:v>
      </x:c>
      <x:c r="F426" s="52" t="str">
        <x:v>CXCR6</x:v>
      </x:c>
      <x:c r="G426" s="52" t="str">
        <x:v>NO</x:v>
      </x:c>
      <x:c r="H426" s="60" t="n">
        <x:v>3.58983225780765</x:v>
      </x:c>
      <x:c r="I426" s="60" t="n">
        <x:v>7.49734691645692</x:v>
      </x:c>
      <x:c r="J426" s="56" t="n">
        <x:v>0</x:v>
      </x:c>
      <x:c r="K426" s="56" t="n">
        <x:v>0</x:v>
      </x:c>
      <x:c r="L426" s="53" t="str">
        <x:v>COMPLETE</x:v>
      </x:c>
    </x:row>
    <x:row r="427">
      <x:c r="A427" s="42" t="str">
        <x:v>GSE110487</x:v>
      </x:c>
      <x:c r="B427" s="43" t="str">
        <x:v>SIG033</x:v>
      </x:c>
      <x:c r="C427" s="43" t="str">
        <x:v>IL4R</x:v>
      </x:c>
      <x:c r="D427" s="55" t="n">
        <x:v>1</x:v>
      </x:c>
      <x:c r="E427" s="43" t="str">
        <x:v>IL4R</x:v>
      </x:c>
      <x:c r="F427" s="43" t="str">
        <x:v>IL4R</x:v>
      </x:c>
      <x:c r="G427" s="43" t="str">
        <x:v>NO</x:v>
      </x:c>
      <x:c r="H427" s="59" t="n">
        <x:v>10.9601039853429</x:v>
      </x:c>
      <x:c r="I427" s="59" t="n">
        <x:v>13.6421670174065</x:v>
      </x:c>
      <x:c r="J427" s="55" t="n">
        <x:v>0</x:v>
      </x:c>
      <x:c r="K427" s="55" t="n">
        <x:v>0</x:v>
      </x:c>
      <x:c r="L427" s="44" t="str">
        <x:v>COMPLETE</x:v>
      </x:c>
    </x:row>
    <x:row r="428">
      <x:c r="A428" s="51" t="str">
        <x:v>GSE110487</x:v>
      </x:c>
      <x:c r="B428" s="52" t="str">
        <x:v>SIG033</x:v>
      </x:c>
      <x:c r="C428" s="52" t="str">
        <x:v>LTB</x:v>
      </x:c>
      <x:c r="D428" s="56" t="n">
        <x:v>1</x:v>
      </x:c>
      <x:c r="E428" s="52" t="str">
        <x:v>LTB</x:v>
      </x:c>
      <x:c r="F428" s="52" t="str">
        <x:v>LTB</x:v>
      </x:c>
      <x:c r="G428" s="52" t="str">
        <x:v>NO</x:v>
      </x:c>
      <x:c r="H428" s="60" t="n">
        <x:v>8.15529953889128</x:v>
      </x:c>
      <x:c r="I428" s="60" t="n">
        <x:v>11.1090544365615</x:v>
      </x:c>
      <x:c r="J428" s="56" t="n">
        <x:v>0</x:v>
      </x:c>
      <x:c r="K428" s="56" t="n">
        <x:v>0</x:v>
      </x:c>
      <x:c r="L428" s="53" t="str">
        <x:v>COMPLETE</x:v>
      </x:c>
    </x:row>
    <x:row r="429">
      <x:c r="A429" s="42" t="str">
        <x:v>GSE110487</x:v>
      </x:c>
      <x:c r="B429" s="43" t="str">
        <x:v>SIG033</x:v>
      </x:c>
      <x:c r="C429" s="43" t="str">
        <x:v>TMSB10</x:v>
      </x:c>
      <x:c r="D429" s="55" t="n">
        <x:v>1</x:v>
      </x:c>
      <x:c r="E429" s="43" t="str">
        <x:v>TMSB10</x:v>
      </x:c>
      <x:c r="F429" s="43" t="str">
        <x:v>TMSB10</x:v>
      </x:c>
      <x:c r="G429" s="43" t="str">
        <x:v>NO</x:v>
      </x:c>
      <x:c r="H429" s="59" t="n">
        <x:v>11.3321259490716</x:v>
      </x:c>
      <x:c r="I429" s="59" t="n">
        <x:v>13.5994561870703</x:v>
      </x:c>
      <x:c r="J429" s="55" t="n">
        <x:v>0</x:v>
      </x:c>
      <x:c r="K429" s="55" t="n">
        <x:v>0</x:v>
      </x:c>
      <x:c r="L429" s="44" t="str">
        <x:v>COMPLETE</x:v>
      </x:c>
    </x:row>
    <x:row r="430">
      <x:c r="A430" s="51" t="str">
        <x:v>GSE110487</x:v>
      </x:c>
      <x:c r="B430" s="52" t="str">
        <x:v>SIG034</x:v>
      </x:c>
      <x:c r="C430" s="52" t="str">
        <x:v>NQO2</x:v>
      </x:c>
      <x:c r="D430" s="56" t="n">
        <x:v>1</x:v>
      </x:c>
      <x:c r="E430" s="52" t="str">
        <x:v>NQO2</x:v>
      </x:c>
      <x:c r="F430" s="52" t="str">
        <x:v>NQO2</x:v>
      </x:c>
      <x:c r="G430" s="52" t="str">
        <x:v>NO</x:v>
      </x:c>
      <x:c r="H430" s="60" t="n">
        <x:v>8.52151204949265</x:v>
      </x:c>
      <x:c r="I430" s="60" t="n">
        <x:v>12.084854826919</x:v>
      </x:c>
      <x:c r="J430" s="56" t="n">
        <x:v>0</x:v>
      </x:c>
      <x:c r="K430" s="56" t="n">
        <x:v>0</x:v>
      </x:c>
      <x:c r="L430" s="53" t="str">
        <x:v>COMPLETE</x:v>
      </x:c>
    </x:row>
    <x:row r="431">
      <x:c r="A431" s="42" t="str">
        <x:v>GSE110487</x:v>
      </x:c>
      <x:c r="B431" s="43" t="str">
        <x:v>SIG034</x:v>
      </x:c>
      <x:c r="C431" s="43" t="str">
        <x:v>SLPI</x:v>
      </x:c>
      <x:c r="D431" s="55" t="n">
        <x:v>1</x:v>
      </x:c>
      <x:c r="E431" s="43" t="str">
        <x:v>SLPI</x:v>
      </x:c>
      <x:c r="F431" s="43" t="str">
        <x:v>SLPI</x:v>
      </x:c>
      <x:c r="G431" s="43" t="str">
        <x:v>NO</x:v>
      </x:c>
      <x:c r="H431" s="59" t="n">
        <x:v>5.88792835531879</x:v>
      </x:c>
      <x:c r="I431" s="59" t="n">
        <x:v>12.367909199532</x:v>
      </x:c>
      <x:c r="J431" s="55" t="n">
        <x:v>0</x:v>
      </x:c>
      <x:c r="K431" s="55" t="n">
        <x:v>0</x:v>
      </x:c>
      <x:c r="L431" s="44" t="str">
        <x:v>COMPLETE</x:v>
      </x:c>
    </x:row>
    <x:row r="432">
      <x:c r="A432" s="51" t="str">
        <x:v>GSE110487</x:v>
      </x:c>
      <x:c r="B432" s="52" t="str">
        <x:v>SIG034</x:v>
      </x:c>
      <x:c r="C432" s="52" t="str">
        <x:v>ORM1</x:v>
      </x:c>
      <x:c r="D432" s="56" t="n">
        <x:v>1</x:v>
      </x:c>
      <x:c r="E432" s="52" t="str">
        <x:v>ORM1</x:v>
      </x:c>
      <x:c r="F432" s="52" t="str">
        <x:v>ORM1</x:v>
      </x:c>
      <x:c r="G432" s="52" t="str">
        <x:v>NO</x:v>
      </x:c>
      <x:c r="H432" s="60" t="n">
        <x:v>5.17369814606423</x:v>
      </x:c>
      <x:c r="I432" s="60" t="n">
        <x:v>10.4794029808417</x:v>
      </x:c>
      <x:c r="J432" s="56" t="n">
        <x:v>0</x:v>
      </x:c>
      <x:c r="K432" s="56" t="n">
        <x:v>0</x:v>
      </x:c>
      <x:c r="L432" s="53" t="str">
        <x:v>COMPLETE</x:v>
      </x:c>
    </x:row>
    <x:row r="433">
      <x:c r="A433" s="42" t="str">
        <x:v>GSE110487</x:v>
      </x:c>
      <x:c r="B433" s="43" t="str">
        <x:v>SIG034</x:v>
      </x:c>
      <x:c r="C433" s="43" t="str">
        <x:v>KLHL2</x:v>
      </x:c>
      <x:c r="D433" s="55" t="n">
        <x:v>1</x:v>
      </x:c>
      <x:c r="E433" s="43" t="str">
        <x:v>KLHL2</x:v>
      </x:c>
      <x:c r="F433" s="43" t="str">
        <x:v>KLHL2</x:v>
      </x:c>
      <x:c r="G433" s="43" t="str">
        <x:v>NO</x:v>
      </x:c>
      <x:c r="H433" s="59" t="n">
        <x:v>10.3635490248303</x:v>
      </x:c>
      <x:c r="I433" s="59" t="n">
        <x:v>13.3682961202029</x:v>
      </x:c>
      <x:c r="J433" s="55" t="n">
        <x:v>0</x:v>
      </x:c>
      <x:c r="K433" s="55" t="n">
        <x:v>0</x:v>
      </x:c>
      <x:c r="L433" s="44" t="str">
        <x:v>COMPLETE</x:v>
      </x:c>
    </x:row>
    <x:row r="434">
      <x:c r="A434" s="51" t="str">
        <x:v>GSE110487</x:v>
      </x:c>
      <x:c r="B434" s="52" t="str">
        <x:v>SIG034</x:v>
      </x:c>
      <x:c r="C434" s="52" t="str">
        <x:v>ANXA3</x:v>
      </x:c>
      <x:c r="D434" s="56" t="n">
        <x:v>1</x:v>
      </x:c>
      <x:c r="E434" s="52" t="str">
        <x:v>ANXA3</x:v>
      </x:c>
      <x:c r="F434" s="52" t="str">
        <x:v>ANXA3</x:v>
      </x:c>
      <x:c r="G434" s="52" t="str">
        <x:v>NO</x:v>
      </x:c>
      <x:c r="H434" s="60" t="n">
        <x:v>10.7619285637767</x:v>
      </x:c>
      <x:c r="I434" s="60" t="n">
        <x:v>14.551966318558</x:v>
      </x:c>
      <x:c r="J434" s="56" t="n">
        <x:v>0</x:v>
      </x:c>
      <x:c r="K434" s="56" t="n">
        <x:v>0</x:v>
      </x:c>
      <x:c r="L434" s="53" t="str">
        <x:v>COMPLETE</x:v>
      </x:c>
    </x:row>
    <x:row r="435">
      <x:c r="A435" s="42" t="str">
        <x:v>GSE110487</x:v>
      </x:c>
      <x:c r="B435" s="43" t="str">
        <x:v>SIG034</x:v>
      </x:c>
      <x:c r="C435" s="43" t="str">
        <x:v>TXN</x:v>
      </x:c>
      <x:c r="D435" s="55" t="n">
        <x:v>2</x:v>
      </x:c>
      <x:c r="E435" s="43" t="str">
        <x:v>TXN</x:v>
      </x:c>
      <x:c r="F435" s="43" t="str">
        <x:v>TXN</x:v>
      </x:c>
      <x:c r="G435" s="43" t="str">
        <x:v>NO</x:v>
      </x:c>
      <x:c r="H435" s="59" t="n">
        <x:v>9.93397423807645</x:v>
      </x:c>
      <x:c r="I435" s="59" t="n">
        <x:v>12.1496855830297</x:v>
      </x:c>
      <x:c r="J435" s="55" t="n">
        <x:v>0</x:v>
      </x:c>
      <x:c r="K435" s="55" t="n">
        <x:v>0</x:v>
      </x:c>
      <x:c r="L435" s="44" t="str">
        <x:v>COMPLETE</x:v>
      </x:c>
    </x:row>
    <x:row r="436">
      <x:c r="A436" s="51" t="str">
        <x:v>GSE110487</x:v>
      </x:c>
      <x:c r="B436" s="52" t="str">
        <x:v>SIG034</x:v>
      </x:c>
      <x:c r="C436" s="52" t="str">
        <x:v>AQP9</x:v>
      </x:c>
      <x:c r="D436" s="56" t="n">
        <x:v>1</x:v>
      </x:c>
      <x:c r="E436" s="52" t="str">
        <x:v>AQP9</x:v>
      </x:c>
      <x:c r="F436" s="52" t="str">
        <x:v>AQP9</x:v>
      </x:c>
      <x:c r="G436" s="52" t="str">
        <x:v>NO</x:v>
      </x:c>
      <x:c r="H436" s="60" t="n">
        <x:v>13.0558170555908</x:v>
      </x:c>
      <x:c r="I436" s="60" t="n">
        <x:v>15.3296924273668</x:v>
      </x:c>
      <x:c r="J436" s="56" t="n">
        <x:v>0</x:v>
      </x:c>
      <x:c r="K436" s="56" t="n">
        <x:v>0</x:v>
      </x:c>
      <x:c r="L436" s="53" t="str">
        <x:v>COMPLETE</x:v>
      </x:c>
    </x:row>
    <x:row r="437">
      <x:c r="A437" s="42" t="str">
        <x:v>GSE110487</x:v>
      </x:c>
      <x:c r="B437" s="43" t="str">
        <x:v>SIG034</x:v>
      </x:c>
      <x:c r="C437" s="43" t="str">
        <x:v>BCL6</x:v>
      </x:c>
      <x:c r="D437" s="55" t="n">
        <x:v>1</x:v>
      </x:c>
      <x:c r="E437" s="43" t="str">
        <x:v>BCL6</x:v>
      </x:c>
      <x:c r="F437" s="43" t="str">
        <x:v>BCL6</x:v>
      </x:c>
      <x:c r="G437" s="43" t="str">
        <x:v>NO</x:v>
      </x:c>
      <x:c r="H437" s="59" t="n">
        <x:v>9.92196385403486</x:v>
      </x:c>
      <x:c r="I437" s="59" t="n">
        <x:v>13.0573755198256</x:v>
      </x:c>
      <x:c r="J437" s="55" t="n">
        <x:v>0</x:v>
      </x:c>
      <x:c r="K437" s="55" t="n">
        <x:v>0</x:v>
      </x:c>
      <x:c r="L437" s="44" t="str">
        <x:v>COMPLETE</x:v>
      </x:c>
    </x:row>
    <x:row r="438">
      <x:c r="A438" s="51" t="str">
        <x:v>GSE110487</x:v>
      </x:c>
      <x:c r="B438" s="52" t="str">
        <x:v>SIG034</x:v>
      </x:c>
      <x:c r="C438" s="52" t="str">
        <x:v>DOK3</x:v>
      </x:c>
      <x:c r="D438" s="56" t="n">
        <x:v>1</x:v>
      </x:c>
      <x:c r="E438" s="52" t="str">
        <x:v>DOK3</x:v>
      </x:c>
      <x:c r="F438" s="52" t="str">
        <x:v>DOK3</x:v>
      </x:c>
      <x:c r="G438" s="52" t="str">
        <x:v>NO</x:v>
      </x:c>
      <x:c r="H438" s="60" t="n">
        <x:v>8.54824955225204</x:v>
      </x:c>
      <x:c r="I438" s="60" t="n">
        <x:v>11.5350989439337</x:v>
      </x:c>
      <x:c r="J438" s="56" t="n">
        <x:v>0</x:v>
      </x:c>
      <x:c r="K438" s="56" t="n">
        <x:v>0</x:v>
      </x:c>
      <x:c r="L438" s="53" t="str">
        <x:v>COMPLETE</x:v>
      </x:c>
    </x:row>
    <x:row r="439">
      <x:c r="A439" s="42" t="str">
        <x:v>GSE110487</x:v>
      </x:c>
      <x:c r="B439" s="43" t="str">
        <x:v>SIG034</x:v>
      </x:c>
      <x:c r="C439" s="43" t="str">
        <x:v>PFKFB4</x:v>
      </x:c>
      <x:c r="D439" s="55" t="n">
        <x:v>1</x:v>
      </x:c>
      <x:c r="E439" s="43" t="str">
        <x:v>PFKFB4</x:v>
      </x:c>
      <x:c r="F439" s="43" t="str">
        <x:v>PFKFB4</x:v>
      </x:c>
      <x:c r="G439" s="43" t="str">
        <x:v>NO</x:v>
      </x:c>
      <x:c r="H439" s="59" t="n">
        <x:v>9.71348655272115</x:v>
      </x:c>
      <x:c r="I439" s="59" t="n">
        <x:v>11.4032681645155</x:v>
      </x:c>
      <x:c r="J439" s="55" t="n">
        <x:v>0</x:v>
      </x:c>
      <x:c r="K439" s="55" t="n">
        <x:v>0</x:v>
      </x:c>
      <x:c r="L439" s="44" t="str">
        <x:v>COMPLETE</x:v>
      </x:c>
    </x:row>
    <x:row r="440">
      <x:c r="A440" s="51" t="str">
        <x:v>GSE110487</x:v>
      </x:c>
      <x:c r="B440" s="52" t="str">
        <x:v>SIG034</x:v>
      </x:c>
      <x:c r="C440" s="52" t="str">
        <x:v>TYK2</x:v>
      </x:c>
      <x:c r="D440" s="56" t="n">
        <x:v>1</x:v>
      </x:c>
      <x:c r="E440" s="52" t="str">
        <x:v>TYK2</x:v>
      </x:c>
      <x:c r="F440" s="52" t="str">
        <x:v>TYK2</x:v>
      </x:c>
      <x:c r="G440" s="52" t="str">
        <x:v>NO</x:v>
      </x:c>
      <x:c r="H440" s="60" t="n">
        <x:v>9.93002274243484</x:v>
      </x:c>
      <x:c r="I440" s="60" t="n">
        <x:v>11.6183137229284</x:v>
      </x:c>
      <x:c r="J440" s="56" t="n">
        <x:v>0</x:v>
      </x:c>
      <x:c r="K440" s="56" t="n">
        <x:v>0</x:v>
      </x:c>
      <x:c r="L440" s="53" t="str">
        <x:v>COMPLETE</x:v>
      </x:c>
    </x:row>
    <x:row r="441">
      <x:c r="A441" s="42" t="str">
        <x:v>GSE110487</x:v>
      </x:c>
      <x:c r="B441" s="43" t="str">
        <x:v>SIG034</x:v>
      </x:c>
      <x:c r="C441" s="43" t="str">
        <x:v>BCL2L11</x:v>
      </x:c>
      <x:c r="D441" s="55" t="n">
        <x:v>1</x:v>
      </x:c>
      <x:c r="E441" s="43" t="str">
        <x:v>BCL2L11</x:v>
      </x:c>
      <x:c r="F441" s="43" t="str">
        <x:v>BCL2L11</x:v>
      </x:c>
      <x:c r="G441" s="43" t="str">
        <x:v>NO</x:v>
      </x:c>
      <x:c r="H441" s="59" t="n">
        <x:v>7.35240327296187</x:v>
      </x:c>
      <x:c r="I441" s="59" t="n">
        <x:v>11.4774655632634</x:v>
      </x:c>
      <x:c r="J441" s="55" t="n">
        <x:v>0</x:v>
      </x:c>
      <x:c r="K441" s="55" t="n">
        <x:v>0</x:v>
      </x:c>
      <x:c r="L441" s="44" t="str">
        <x:v>COMPLETE</x:v>
      </x:c>
    </x:row>
    <x:row r="442">
      <x:c r="A442" s="51" t="str">
        <x:v>GSE110487</x:v>
      </x:c>
      <x:c r="B442" s="52" t="str">
        <x:v>SIG034</x:v>
      </x:c>
      <x:c r="C442" s="52" t="str">
        <x:v>BCAT1</x:v>
      </x:c>
      <x:c r="D442" s="56" t="n">
        <x:v>1</x:v>
      </x:c>
      <x:c r="E442" s="52" t="str">
        <x:v>BCAT1</x:v>
      </x:c>
      <x:c r="F442" s="52" t="str">
        <x:v>BCAT1</x:v>
      </x:c>
      <x:c r="G442" s="52" t="str">
        <x:v>NO</x:v>
      </x:c>
      <x:c r="H442" s="60" t="n">
        <x:v>6.63805060833059</x:v>
      </x:c>
      <x:c r="I442" s="60" t="n">
        <x:v>11.6163027508731</x:v>
      </x:c>
      <x:c r="J442" s="56" t="n">
        <x:v>0</x:v>
      </x:c>
      <x:c r="K442" s="56" t="n">
        <x:v>0</x:v>
      </x:c>
      <x:c r="L442" s="53" t="str">
        <x:v>COMPLETE</x:v>
      </x:c>
    </x:row>
    <x:row r="443">
      <x:c r="A443" s="42" t="str">
        <x:v>GSE110487</x:v>
      </x:c>
      <x:c r="B443" s="43" t="str">
        <x:v>SIG034</x:v>
      </x:c>
      <x:c r="C443" s="43" t="str">
        <x:v>BTBD7</x:v>
      </x:c>
      <x:c r="D443" s="55" t="n">
        <x:v>1</x:v>
      </x:c>
      <x:c r="E443" s="43" t="str">
        <x:v>BTBD7</x:v>
      </x:c>
      <x:c r="F443" s="43" t="str">
        <x:v>BTBD7</x:v>
      </x:c>
      <x:c r="G443" s="43" t="str">
        <x:v>NO</x:v>
      </x:c>
      <x:c r="H443" s="59" t="n">
        <x:v>8.32383405250502</x:v>
      </x:c>
      <x:c r="I443" s="59" t="n">
        <x:v>9.5382205441456</x:v>
      </x:c>
      <x:c r="J443" s="55" t="n">
        <x:v>0</x:v>
      </x:c>
      <x:c r="K443" s="55" t="n">
        <x:v>0</x:v>
      </x:c>
      <x:c r="L443" s="44" t="str">
        <x:v>COMPLETE</x:v>
      </x:c>
    </x:row>
    <x:row r="444">
      <x:c r="A444" s="51" t="str">
        <x:v>GSE110487</x:v>
      </x:c>
      <x:c r="B444" s="52" t="str">
        <x:v>SIG034</x:v>
      </x:c>
      <x:c r="C444" s="52" t="str">
        <x:v>CEP55</x:v>
      </x:c>
      <x:c r="D444" s="56" t="n">
        <x:v>1</x:v>
      </x:c>
      <x:c r="E444" s="52" t="str">
        <x:v>CEP55</x:v>
      </x:c>
      <x:c r="F444" s="52" t="str">
        <x:v>CEP55</x:v>
      </x:c>
      <x:c r="G444" s="52" t="str">
        <x:v>NO</x:v>
      </x:c>
      <x:c r="H444" s="60" t="n">
        <x:v>3.81939978458839</x:v>
      </x:c>
      <x:c r="I444" s="60" t="n">
        <x:v>8.2205516155358</x:v>
      </x:c>
      <x:c r="J444" s="56" t="n">
        <x:v>0</x:v>
      </x:c>
      <x:c r="K444" s="56" t="n">
        <x:v>0</x:v>
      </x:c>
      <x:c r="L444" s="53" t="str">
        <x:v>COMPLETE</x:v>
      </x:c>
    </x:row>
    <x:row r="445">
      <x:c r="A445" s="42" t="str">
        <x:v>GSE110487</x:v>
      </x:c>
      <x:c r="B445" s="43" t="str">
        <x:v>SIG034</x:v>
      </x:c>
      <x:c r="C445" s="43" t="str">
        <x:v>HMMR</x:v>
      </x:c>
      <x:c r="D445" s="55" t="n">
        <x:v>1</x:v>
      </x:c>
      <x:c r="E445" s="43" t="str">
        <x:v>HMMR</x:v>
      </x:c>
      <x:c r="F445" s="43" t="str">
        <x:v>HMMR</x:v>
      </x:c>
      <x:c r="G445" s="43" t="str">
        <x:v>NO</x:v>
      </x:c>
      <x:c r="H445" s="59" t="n">
        <x:v>5.84339608388418</x:v>
      </x:c>
      <x:c r="I445" s="59" t="n">
        <x:v>8.88584560264039</x:v>
      </x:c>
      <x:c r="J445" s="55" t="n">
        <x:v>0</x:v>
      </x:c>
      <x:c r="K445" s="55" t="n">
        <x:v>0</x:v>
      </x:c>
      <x:c r="L445" s="44" t="str">
        <x:v>COMPLETE</x:v>
      </x:c>
    </x:row>
    <x:row r="446">
      <x:c r="A446" s="51" t="str">
        <x:v>GSE110487</x:v>
      </x:c>
      <x:c r="B446" s="52" t="str">
        <x:v>SIG034</x:v>
      </x:c>
      <x:c r="C446" s="52" t="str">
        <x:v>PRC1</x:v>
      </x:c>
      <x:c r="D446" s="56" t="n">
        <x:v>1</x:v>
      </x:c>
      <x:c r="E446" s="52" t="str">
        <x:v>PRC1</x:v>
      </x:c>
      <x:c r="F446" s="52" t="str">
        <x:v>PRC1</x:v>
      </x:c>
      <x:c r="G446" s="52" t="str">
        <x:v>NO</x:v>
      </x:c>
      <x:c r="H446" s="60" t="n">
        <x:v>5.54662725359822</x:v>
      </x:c>
      <x:c r="I446" s="60" t="n">
        <x:v>8.46452532863288</x:v>
      </x:c>
      <x:c r="J446" s="56" t="n">
        <x:v>0</x:v>
      </x:c>
      <x:c r="K446" s="56" t="n">
        <x:v>0</x:v>
      </x:c>
      <x:c r="L446" s="53" t="str">
        <x:v>COMPLETE</x:v>
      </x:c>
    </x:row>
    <x:row r="447">
      <x:c r="A447" s="42" t="str">
        <x:v>GSE110487</x:v>
      </x:c>
      <x:c r="B447" s="43" t="str">
        <x:v>SIG034</x:v>
      </x:c>
      <x:c r="C447" s="43" t="str">
        <x:v>KIF15</x:v>
      </x:c>
      <x:c r="D447" s="55" t="n">
        <x:v>1</x:v>
      </x:c>
      <x:c r="E447" s="43" t="str">
        <x:v>KIF15</x:v>
      </x:c>
      <x:c r="F447" s="43" t="str">
        <x:v>KIF15</x:v>
      </x:c>
      <x:c r="G447" s="43" t="str">
        <x:v>NO</x:v>
      </x:c>
      <x:c r="H447" s="59" t="n">
        <x:v>7.13636195342102</x:v>
      </x:c>
      <x:c r="I447" s="59" t="n">
        <x:v>9.93492502956934</x:v>
      </x:c>
      <x:c r="J447" s="55" t="n">
        <x:v>0</x:v>
      </x:c>
      <x:c r="K447" s="55" t="n">
        <x:v>0</x:v>
      </x:c>
      <x:c r="L447" s="44" t="str">
        <x:v>COMPLETE</x:v>
      </x:c>
    </x:row>
    <x:row r="448">
      <x:c r="A448" s="51" t="str">
        <x:v>GSE110487</x:v>
      </x:c>
      <x:c r="B448" s="52" t="str">
        <x:v>SIG034</x:v>
      </x:c>
      <x:c r="C448" s="52" t="str">
        <x:v>CAMP</x:v>
      </x:c>
      <x:c r="D448" s="56" t="n">
        <x:v>2</x:v>
      </x:c>
      <x:c r="E448" s="52" t="str">
        <x:v>CAMP</x:v>
      </x:c>
      <x:c r="F448" s="52" t="str">
        <x:v>CAMP</x:v>
      </x:c>
      <x:c r="G448" s="52" t="str">
        <x:v>NO</x:v>
      </x:c>
      <x:c r="H448" s="60" t="n">
        <x:v>6.95391879841773</x:v>
      </x:c>
      <x:c r="I448" s="60" t="n">
        <x:v>13.6166185778984</x:v>
      </x:c>
      <x:c r="J448" s="56" t="n">
        <x:v>0</x:v>
      </x:c>
      <x:c r="K448" s="56" t="n">
        <x:v>0</x:v>
      </x:c>
      <x:c r="L448" s="53" t="str">
        <x:v>COMPLETE</x:v>
      </x:c>
    </x:row>
    <x:row r="449">
      <x:c r="A449" s="42" t="str">
        <x:v>GSE110487</x:v>
      </x:c>
      <x:c r="B449" s="43" t="str">
        <x:v>SIG034</x:v>
      </x:c>
      <x:c r="C449" s="43" t="str">
        <x:v>CEACAM8</x:v>
      </x:c>
      <x:c r="D449" s="55" t="n">
        <x:v>1</x:v>
      </x:c>
      <x:c r="E449" s="43" t="str">
        <x:v>CEACAM8</x:v>
      </x:c>
      <x:c r="F449" s="43" t="str">
        <x:v>CEACAM8</x:v>
      </x:c>
      <x:c r="G449" s="43" t="str">
        <x:v>NO</x:v>
      </x:c>
      <x:c r="H449" s="59" t="n">
        <x:v>5.1709640499668</x:v>
      </x:c>
      <x:c r="I449" s="59" t="n">
        <x:v>11.5715305973101</x:v>
      </x:c>
      <x:c r="J449" s="55" t="n">
        <x:v>0</x:v>
      </x:c>
      <x:c r="K449" s="55" t="n">
        <x:v>0</x:v>
      </x:c>
      <x:c r="L449" s="44" t="str">
        <x:v>COMPLETE</x:v>
      </x:c>
    </x:row>
    <x:row r="450">
      <x:c r="A450" s="51" t="str">
        <x:v>GSE110487</x:v>
      </x:c>
      <x:c r="B450" s="52" t="str">
        <x:v>SIG034</x:v>
      </x:c>
      <x:c r="C450" s="52" t="str">
        <x:v>DEFA4</x:v>
      </x:c>
      <x:c r="D450" s="56" t="n">
        <x:v>1</x:v>
      </x:c>
      <x:c r="E450" s="52" t="str">
        <x:v>DEFA4</x:v>
      </x:c>
      <x:c r="F450" s="52" t="str">
        <x:v>DEFA4</x:v>
      </x:c>
      <x:c r="G450" s="52" t="str">
        <x:v>NO</x:v>
      </x:c>
      <x:c r="H450" s="60" t="n">
        <x:v>3.24478078154508</x:v>
      </x:c>
      <x:c r="I450" s="60" t="n">
        <x:v>12.5581192325337</x:v>
      </x:c>
      <x:c r="J450" s="56" t="n">
        <x:v>0</x:v>
      </x:c>
      <x:c r="K450" s="56" t="n">
        <x:v>0</x:v>
      </x:c>
      <x:c r="L450" s="53" t="str">
        <x:v>COMPLETE</x:v>
      </x:c>
    </x:row>
    <x:row r="451">
      <x:c r="A451" s="42" t="str">
        <x:v>GSE110487</x:v>
      </x:c>
      <x:c r="B451" s="43" t="str">
        <x:v>SIG034</x:v>
      </x:c>
      <x:c r="C451" s="43" t="str">
        <x:v>LCN2</x:v>
      </x:c>
      <x:c r="D451" s="55" t="n">
        <x:v>1</x:v>
      </x:c>
      <x:c r="E451" s="43" t="str">
        <x:v>LCN2</x:v>
      </x:c>
      <x:c r="F451" s="43" t="str">
        <x:v>LCN2</x:v>
      </x:c>
      <x:c r="G451" s="43" t="str">
        <x:v>NO</x:v>
      </x:c>
      <x:c r="H451" s="59" t="n">
        <x:v>6.27483174131673</x:v>
      </x:c>
      <x:c r="I451" s="59" t="n">
        <x:v>14.5273412608797</x:v>
      </x:c>
      <x:c r="J451" s="55" t="n">
        <x:v>0</x:v>
      </x:c>
      <x:c r="K451" s="55" t="n">
        <x:v>0</x:v>
      </x:c>
      <x:c r="L451" s="44" t="str">
        <x:v>COMPLETE</x:v>
      </x:c>
    </x:row>
    <x:row r="452">
      <x:c r="A452" s="51" t="str">
        <x:v>GSE110487</x:v>
      </x:c>
      <x:c r="B452" s="52" t="str">
        <x:v>SIG034</x:v>
      </x:c>
      <x:c r="C452" s="52" t="str">
        <x:v>CTSG</x:v>
      </x:c>
      <x:c r="D452" s="56" t="n">
        <x:v>1</x:v>
      </x:c>
      <x:c r="E452" s="52" t="str">
        <x:v>CTSG</x:v>
      </x:c>
      <x:c r="F452" s="52" t="str">
        <x:v>CTSG</x:v>
      </x:c>
      <x:c r="G452" s="52" t="str">
        <x:v>NO</x:v>
      </x:c>
      <x:c r="H452" s="60" t="n">
        <x:v>3.34657148103644</x:v>
      </x:c>
      <x:c r="I452" s="60" t="n">
        <x:v>10.4463543128401</x:v>
      </x:c>
      <x:c r="J452" s="56" t="n">
        <x:v>0</x:v>
      </x:c>
      <x:c r="K452" s="56" t="n">
        <x:v>0</x:v>
      </x:c>
      <x:c r="L452" s="53" t="str">
        <x:v>COMPLETE</x:v>
      </x:c>
    </x:row>
    <x:row r="453">
      <x:c r="A453" s="42" t="str">
        <x:v>GSE110487</x:v>
      </x:c>
      <x:c r="B453" s="43" t="str">
        <x:v>SIG034</x:v>
      </x:c>
      <x:c r="C453" s="43" t="str">
        <x:v>AZU1</x:v>
      </x:c>
      <x:c r="D453" s="55" t="n">
        <x:v>1</x:v>
      </x:c>
      <x:c r="E453" s="43" t="str">
        <x:v>AZU1</x:v>
      </x:c>
      <x:c r="F453" s="43" t="str">
        <x:v>AZU1</x:v>
      </x:c>
      <x:c r="G453" s="43" t="str">
        <x:v>NO</x:v>
      </x:c>
      <x:c r="H453" s="59" t="n">
        <x:v>3.60265619130751</x:v>
      </x:c>
      <x:c r="I453" s="59" t="n">
        <x:v>10.0537644134187</x:v>
      </x:c>
      <x:c r="J453" s="55" t="n">
        <x:v>0</x:v>
      </x:c>
      <x:c r="K453" s="55" t="n">
        <x:v>0</x:v>
      </x:c>
      <x:c r="L453" s="44" t="str">
        <x:v>COMPLETE</x:v>
      </x:c>
    </x:row>
    <x:row r="454">
      <x:c r="A454" s="51" t="str">
        <x:v>GSE110487</x:v>
      </x:c>
      <x:c r="B454" s="52" t="str">
        <x:v>SIG034</x:v>
      </x:c>
      <x:c r="C454" s="52" t="str">
        <x:v>MAFB</x:v>
      </x:c>
      <x:c r="D454" s="56" t="n">
        <x:v>1</x:v>
      </x:c>
      <x:c r="E454" s="52" t="str">
        <x:v>MAFB</x:v>
      </x:c>
      <x:c r="F454" s="52" t="str">
        <x:v>MAFB</x:v>
      </x:c>
      <x:c r="G454" s="52" t="str">
        <x:v>NO</x:v>
      </x:c>
      <x:c r="H454" s="60" t="n">
        <x:v>6.74089429593749</x:v>
      </x:c>
      <x:c r="I454" s="60" t="n">
        <x:v>9.83681673022522</x:v>
      </x:c>
      <x:c r="J454" s="56" t="n">
        <x:v>0</x:v>
      </x:c>
      <x:c r="K454" s="56" t="n">
        <x:v>0</x:v>
      </x:c>
      <x:c r="L454" s="53" t="str">
        <x:v>COMPLETE</x:v>
      </x:c>
    </x:row>
    <x:row r="455">
      <x:c r="A455" s="42" t="str">
        <x:v>GSE110487</x:v>
      </x:c>
      <x:c r="B455" s="43" t="str">
        <x:v>SIG034</x:v>
      </x:c>
      <x:c r="C455" s="43" t="str">
        <x:v>OASL</x:v>
      </x:c>
      <x:c r="D455" s="55" t="n">
        <x:v>1</x:v>
      </x:c>
      <x:c r="E455" s="43" t="str">
        <x:v>OASL</x:v>
      </x:c>
      <x:c r="F455" s="43" t="str">
        <x:v>OASL</x:v>
      </x:c>
      <x:c r="G455" s="43" t="str">
        <x:v>NO</x:v>
      </x:c>
      <x:c r="H455" s="59" t="n">
        <x:v>5.46538271080603</x:v>
      </x:c>
      <x:c r="I455" s="59" t="n">
        <x:v>14.030098708561</x:v>
      </x:c>
      <x:c r="J455" s="55" t="n">
        <x:v>0</x:v>
      </x:c>
      <x:c r="K455" s="55" t="n">
        <x:v>0</x:v>
      </x:c>
      <x:c r="L455" s="44" t="str">
        <x:v>COMPLETE</x:v>
      </x:c>
    </x:row>
    <x:row r="456">
      <x:c r="A456" s="51" t="str">
        <x:v>GSE110487</x:v>
      </x:c>
      <x:c r="B456" s="52" t="str">
        <x:v>SIG034</x:v>
      </x:c>
      <x:c r="C456" s="52" t="str">
        <x:v>UBE2L6</x:v>
      </x:c>
      <x:c r="D456" s="56" t="n">
        <x:v>1</x:v>
      </x:c>
      <x:c r="E456" s="52" t="str">
        <x:v>UBE2L6</x:v>
      </x:c>
      <x:c r="F456" s="52" t="str">
        <x:v>UBE2L6</x:v>
      </x:c>
      <x:c r="G456" s="52" t="str">
        <x:v>NO</x:v>
      </x:c>
      <x:c r="H456" s="60" t="n">
        <x:v>6.68189278312422</x:v>
      </x:c>
      <x:c r="I456" s="60" t="n">
        <x:v>12.6593060310499</x:v>
      </x:c>
      <x:c r="J456" s="56" t="n">
        <x:v>0</x:v>
      </x:c>
      <x:c r="K456" s="56" t="n">
        <x:v>0</x:v>
      </x:c>
      <x:c r="L456" s="53" t="str">
        <x:v>COMPLETE</x:v>
      </x:c>
    </x:row>
    <x:row r="457">
      <x:c r="A457" s="42" t="str">
        <x:v>GSE110487</x:v>
      </x:c>
      <x:c r="B457" s="43" t="str">
        <x:v>SIG034</x:v>
      </x:c>
      <x:c r="C457" s="43" t="str">
        <x:v>VAMP5</x:v>
      </x:c>
      <x:c r="D457" s="55" t="n">
        <x:v>1</x:v>
      </x:c>
      <x:c r="E457" s="43" t="str">
        <x:v>VAMP5</x:v>
      </x:c>
      <x:c r="F457" s="43" t="str">
        <x:v>VAMP5</x:v>
      </x:c>
      <x:c r="G457" s="43" t="str">
        <x:v>NO</x:v>
      </x:c>
      <x:c r="H457" s="59" t="n">
        <x:v>5.05984812110693</x:v>
      </x:c>
      <x:c r="I457" s="59" t="n">
        <x:v>8.52884102025141</x:v>
      </x:c>
      <x:c r="J457" s="55" t="n">
        <x:v>0</x:v>
      </x:c>
      <x:c r="K457" s="55" t="n">
        <x:v>0</x:v>
      </x:c>
      <x:c r="L457" s="44" t="str">
        <x:v>COMPLETE</x:v>
      </x:c>
    </x:row>
    <x:row r="458">
      <x:c r="A458" s="51" t="str">
        <x:v>GSE110487</x:v>
      </x:c>
      <x:c r="B458" s="52" t="str">
        <x:v>SIG034</x:v>
      </x:c>
      <x:c r="C458" s="52" t="str">
        <x:v>CCL2</x:v>
      </x:c>
      <x:c r="D458" s="56" t="n">
        <x:v>1</x:v>
      </x:c>
      <x:c r="E458" s="52" t="str">
        <x:v>CCL2</x:v>
      </x:c>
      <x:c r="F458" s="52" t="str">
        <x:v>CCL2</x:v>
      </x:c>
      <x:c r="G458" s="52" t="str">
        <x:v>NO</x:v>
      </x:c>
      <x:c r="H458" s="60" t="n">
        <x:v>2.03635278336469</x:v>
      </x:c>
      <x:c r="I458" s="60" t="n">
        <x:v>4.72878531181813</x:v>
      </x:c>
      <x:c r="J458" s="56" t="n">
        <x:v>0</x:v>
      </x:c>
      <x:c r="K458" s="56" t="n">
        <x:v>0</x:v>
      </x:c>
      <x:c r="L458" s="53" t="str">
        <x:v>COMPLETE</x:v>
      </x:c>
    </x:row>
    <x:row r="459">
      <x:c r="A459" s="42" t="str">
        <x:v>GSE110487</x:v>
      </x:c>
      <x:c r="B459" s="43" t="str">
        <x:v>SIG034</x:v>
      </x:c>
      <x:c r="C459" s="43" t="str">
        <x:v>NAPA</x:v>
      </x:c>
      <x:c r="D459" s="55" t="n">
        <x:v>2</x:v>
      </x:c>
      <x:c r="E459" s="43" t="str">
        <x:v>NAPA</x:v>
      </x:c>
      <x:c r="F459" s="43" t="str">
        <x:v>NAPA</x:v>
      </x:c>
      <x:c r="G459" s="43" t="str">
        <x:v>NO</x:v>
      </x:c>
      <x:c r="H459" s="59" t="n">
        <x:v>6.63425621986671</x:v>
      </x:c>
      <x:c r="I459" s="59" t="n">
        <x:v>10.4224105627244</x:v>
      </x:c>
      <x:c r="J459" s="55" t="n">
        <x:v>0</x:v>
      </x:c>
      <x:c r="K459" s="55" t="n">
        <x:v>0</x:v>
      </x:c>
      <x:c r="L459" s="44" t="str">
        <x:v>COMPLETE</x:v>
      </x:c>
    </x:row>
    <x:row r="460">
      <x:c r="A460" s="51" t="str">
        <x:v>GSE110487</x:v>
      </x:c>
      <x:c r="B460" s="52" t="str">
        <x:v>SIG034</x:v>
      </x:c>
      <x:c r="C460" s="52" t="str">
        <x:v>ATG3</x:v>
      </x:c>
      <x:c r="D460" s="56" t="n">
        <x:v>1</x:v>
      </x:c>
      <x:c r="E460" s="52" t="str">
        <x:v>ATG3</x:v>
      </x:c>
      <x:c r="F460" s="52" t="str">
        <x:v>ATG3</x:v>
      </x:c>
      <x:c r="G460" s="52" t="str">
        <x:v>NO</x:v>
      </x:c>
      <x:c r="H460" s="60" t="n">
        <x:v>10.2789941085286</x:v>
      </x:c>
      <x:c r="I460" s="60" t="n">
        <x:v>11.8698772749408</x:v>
      </x:c>
      <x:c r="J460" s="56" t="n">
        <x:v>0</x:v>
      </x:c>
      <x:c r="K460" s="56" t="n">
        <x:v>0</x:v>
      </x:c>
      <x:c r="L460" s="53" t="str">
        <x:v>COMPLETE</x:v>
      </x:c>
    </x:row>
    <x:row r="461">
      <x:c r="A461" s="42" t="str">
        <x:v>GSE110487</x:v>
      </x:c>
      <x:c r="B461" s="43" t="str">
        <x:v>SIG034</x:v>
      </x:c>
      <x:c r="C461" s="43" t="str">
        <x:v>VRK2</x:v>
      </x:c>
      <x:c r="D461" s="55" t="n">
        <x:v>1</x:v>
      </x:c>
      <x:c r="E461" s="43" t="str">
        <x:v>VRK2</x:v>
      </x:c>
      <x:c r="F461" s="43" t="str">
        <x:v>VRK2</x:v>
      </x:c>
      <x:c r="G461" s="43" t="str">
        <x:v>NO</x:v>
      </x:c>
      <x:c r="H461" s="59" t="n">
        <x:v>8.63581608176548</x:v>
      </x:c>
      <x:c r="I461" s="59" t="n">
        <x:v>10.2660677186434</x:v>
      </x:c>
      <x:c r="J461" s="55" t="n">
        <x:v>0</x:v>
      </x:c>
      <x:c r="K461" s="55" t="n">
        <x:v>0</x:v>
      </x:c>
      <x:c r="L461" s="44" t="str">
        <x:v>COMPLETE</x:v>
      </x:c>
    </x:row>
    <x:row r="462">
      <x:c r="A462" s="51" t="str">
        <x:v>GSE110487</x:v>
      </x:c>
      <x:c r="B462" s="52" t="str">
        <x:v>SIG034</x:v>
      </x:c>
      <x:c r="C462" s="52" t="str">
        <x:v>TMEM123</x:v>
      </x:c>
      <x:c r="D462" s="56" t="n">
        <x:v>2</x:v>
      </x:c>
      <x:c r="E462" s="52" t="str">
        <x:v>TMEM123</x:v>
      </x:c>
      <x:c r="F462" s="52" t="str">
        <x:v>TMEM123</x:v>
      </x:c>
      <x:c r="G462" s="52" t="str">
        <x:v>NO</x:v>
      </x:c>
      <x:c r="H462" s="60" t="n">
        <x:v>11.0050333317028</x:v>
      </x:c>
      <x:c r="I462" s="60" t="n">
        <x:v>15.731626304767</x:v>
      </x:c>
      <x:c r="J462" s="56" t="n">
        <x:v>0</x:v>
      </x:c>
      <x:c r="K462" s="56" t="n">
        <x:v>0</x:v>
      </x:c>
      <x:c r="L462" s="53" t="str">
        <x:v>COMPLETE</x:v>
      </x:c>
    </x:row>
    <x:row r="463">
      <x:c r="A463" s="42" t="str">
        <x:v>GSE110487</x:v>
      </x:c>
      <x:c r="B463" s="43" t="str">
        <x:v>SIG034</x:v>
      </x:c>
      <x:c r="C463" s="43" t="str">
        <x:v>CASP7</x:v>
      </x:c>
      <x:c r="D463" s="55" t="n">
        <x:v>1</x:v>
      </x:c>
      <x:c r="E463" s="43" t="str">
        <x:v>CASP7</x:v>
      </x:c>
      <x:c r="F463" s="43" t="str">
        <x:v>CASP7</x:v>
      </x:c>
      <x:c r="G463" s="43" t="str">
        <x:v>NO</x:v>
      </x:c>
      <x:c r="H463" s="59" t="n">
        <x:v>6.47230698590958</x:v>
      </x:c>
      <x:c r="I463" s="59" t="n">
        <x:v>8.99240073737737</x:v>
      </x:c>
      <x:c r="J463" s="55" t="n">
        <x:v>0</x:v>
      </x:c>
      <x:c r="K463" s="55" t="n">
        <x:v>0</x:v>
      </x:c>
      <x:c r="L463" s="44" t="str">
        <x:v>COMPLETE</x:v>
      </x:c>
    </x:row>
    <x:row r="464">
      <x:c r="A464" s="51" t="str">
        <x:v>GSE110487</x:v>
      </x:c>
      <x:c r="B464" s="52" t="str">
        <x:v>SIG034</x:v>
      </x:c>
      <x:c r="C464" s="52" t="str">
        <x:v>DOK2</x:v>
      </x:c>
      <x:c r="D464" s="56" t="n">
        <x:v>1</x:v>
      </x:c>
      <x:c r="E464" s="52" t="str">
        <x:v>DOK2</x:v>
      </x:c>
      <x:c r="F464" s="52" t="str">
        <x:v>DOK2</x:v>
      </x:c>
      <x:c r="G464" s="52" t="str">
        <x:v>NO</x:v>
      </x:c>
      <x:c r="H464" s="60" t="n">
        <x:v>7.28905802838241</x:v>
      </x:c>
      <x:c r="I464" s="60" t="n">
        <x:v>9.6432426044859</x:v>
      </x:c>
      <x:c r="J464" s="56" t="n">
        <x:v>0</x:v>
      </x:c>
      <x:c r="K464" s="56" t="n">
        <x:v>0</x:v>
      </x:c>
      <x:c r="L464" s="53" t="str">
        <x:v>COMPLETE</x:v>
      </x:c>
    </x:row>
    <x:row r="465">
      <x:c r="A465" s="42" t="str">
        <x:v>GSE110487</x:v>
      </x:c>
      <x:c r="B465" s="43" t="str">
        <x:v>SIG034</x:v>
      </x:c>
      <x:c r="C465" s="43" t="str">
        <x:v>HLA-DPB1</x:v>
      </x:c>
      <x:c r="D465" s="55" t="n">
        <x:v>2</x:v>
      </x:c>
      <x:c r="E465" s="43" t="str">
        <x:v>HLA-DPB1</x:v>
      </x:c>
      <x:c r="F465" s="43" t="str">
        <x:v>HLA-DPB1</x:v>
      </x:c>
      <x:c r="G465" s="43" t="str">
        <x:v>NO</x:v>
      </x:c>
      <x:c r="H465" s="59" t="n">
        <x:v>8.13402907421356</x:v>
      </x:c>
      <x:c r="I465" s="59" t="n">
        <x:v>12.0906792611449</x:v>
      </x:c>
      <x:c r="J465" s="55" t="n">
        <x:v>0</x:v>
      </x:c>
      <x:c r="K465" s="55" t="n">
        <x:v>0</x:v>
      </x:c>
      <x:c r="L465" s="44" t="str">
        <x:v>COMPLETE</x:v>
      </x:c>
    </x:row>
    <x:row r="466">
      <x:c r="A466" s="51" t="str">
        <x:v>GSE110487</x:v>
      </x:c>
      <x:c r="B466" s="52" t="str">
        <x:v>SIG034</x:v>
      </x:c>
      <x:c r="C466" s="52" t="str">
        <x:v>BUB3</x:v>
      </x:c>
      <x:c r="D466" s="56" t="n">
        <x:v>1</x:v>
      </x:c>
      <x:c r="E466" s="52" t="str">
        <x:v>BUB3</x:v>
      </x:c>
      <x:c r="F466" s="52" t="str">
        <x:v>BUB3</x:v>
      </x:c>
      <x:c r="G466" s="52" t="str">
        <x:v>NO</x:v>
      </x:c>
      <x:c r="H466" s="60" t="n">
        <x:v>7.75462555106038</x:v>
      </x:c>
      <x:c r="I466" s="60" t="n">
        <x:v>8.96875472336394</x:v>
      </x:c>
      <x:c r="J466" s="56" t="n">
        <x:v>0</x:v>
      </x:c>
      <x:c r="K466" s="56" t="n">
        <x:v>0</x:v>
      </x:c>
      <x:c r="L466" s="53" t="str">
        <x:v>COMPLETE</x:v>
      </x:c>
    </x:row>
    <x:row r="467">
      <x:c r="A467" s="42" t="str">
        <x:v>GSE110487</x:v>
      </x:c>
      <x:c r="B467" s="43" t="str">
        <x:v>SIG034</x:v>
      </x:c>
      <x:c r="C467" s="43" t="str">
        <x:v>SMYD2</x:v>
      </x:c>
      <x:c r="D467" s="55" t="n">
        <x:v>1</x:v>
      </x:c>
      <x:c r="E467" s="43" t="str">
        <x:v>SMYD2</x:v>
      </x:c>
      <x:c r="F467" s="43" t="str">
        <x:v>SMYD2</x:v>
      </x:c>
      <x:c r="G467" s="43" t="str">
        <x:v>NO</x:v>
      </x:c>
      <x:c r="H467" s="59" t="n">
        <x:v>5.77460997493164</x:v>
      </x:c>
      <x:c r="I467" s="59" t="n">
        <x:v>7.96486486177928</x:v>
      </x:c>
      <x:c r="J467" s="55" t="n">
        <x:v>0</x:v>
      </x:c>
      <x:c r="K467" s="55" t="n">
        <x:v>0</x:v>
      </x:c>
      <x:c r="L467" s="44" t="str">
        <x:v>COMPLETE</x:v>
      </x:c>
    </x:row>
    <x:row r="468">
      <x:c r="A468" s="51" t="str">
        <x:v>GSE110487</x:v>
      </x:c>
      <x:c r="B468" s="52" t="str">
        <x:v>SIG034</x:v>
      </x:c>
      <x:c r="C468" s="52" t="str">
        <x:v>SIDT1</x:v>
      </x:c>
      <x:c r="D468" s="56" t="n">
        <x:v>1</x:v>
      </x:c>
      <x:c r="E468" s="52" t="str">
        <x:v>SIDT1</x:v>
      </x:c>
      <x:c r="F468" s="52" t="str">
        <x:v>SIDT1</x:v>
      </x:c>
      <x:c r="G468" s="52" t="str">
        <x:v>NO</x:v>
      </x:c>
      <x:c r="H468" s="60" t="n">
        <x:v>4.16378075777493</x:v>
      </x:c>
      <x:c r="I468" s="60" t="n">
        <x:v>7.17696852478635</x:v>
      </x:c>
      <x:c r="J468" s="56" t="n">
        <x:v>0</x:v>
      </x:c>
      <x:c r="K468" s="56" t="n">
        <x:v>0</x:v>
      </x:c>
      <x:c r="L468" s="53" t="str">
        <x:v>COMPLETE</x:v>
      </x:c>
    </x:row>
    <x:row r="469">
      <x:c r="A469" s="42" t="str">
        <x:v>GSE110487</x:v>
      </x:c>
      <x:c r="B469" s="43" t="str">
        <x:v>SIG034</x:v>
      </x:c>
      <x:c r="C469" s="43" t="str">
        <x:v>EXOC2</x:v>
      </x:c>
      <x:c r="D469" s="55" t="n">
        <x:v>1</x:v>
      </x:c>
      <x:c r="E469" s="43" t="str">
        <x:v>EXOC2</x:v>
      </x:c>
      <x:c r="F469" s="43" t="str">
        <x:v>EXOC2</x:v>
      </x:c>
      <x:c r="G469" s="43" t="str">
        <x:v>NO</x:v>
      </x:c>
      <x:c r="H469" s="59" t="n">
        <x:v>7.86655604944064</x:v>
      </x:c>
      <x:c r="I469" s="59" t="n">
        <x:v>9.64460909902204</x:v>
      </x:c>
      <x:c r="J469" s="55" t="n">
        <x:v>0</x:v>
      </x:c>
      <x:c r="K469" s="55" t="n">
        <x:v>0</x:v>
      </x:c>
      <x:c r="L469" s="44" t="str">
        <x:v>COMPLETE</x:v>
      </x:c>
    </x:row>
    <x:row r="470">
      <x:c r="A470" s="51" t="str">
        <x:v>GSE110487</x:v>
      </x:c>
      <x:c r="B470" s="52" t="str">
        <x:v>SIG034</x:v>
      </x:c>
      <x:c r="C470" s="52" t="str">
        <x:v>TRIB2</x:v>
      </x:c>
      <x:c r="D470" s="56" t="n">
        <x:v>1</x:v>
      </x:c>
      <x:c r="E470" s="52" t="str">
        <x:v>TRIB2</x:v>
      </x:c>
      <x:c r="F470" s="52" t="str">
        <x:v>TRIB2</x:v>
      </x:c>
      <x:c r="G470" s="52" t="str">
        <x:v>NO</x:v>
      </x:c>
      <x:c r="H470" s="60" t="n">
        <x:v>5.13661806445661</x:v>
      </x:c>
      <x:c r="I470" s="60" t="n">
        <x:v>9.2582235859582</x:v>
      </x:c>
      <x:c r="J470" s="56" t="n">
        <x:v>0</x:v>
      </x:c>
      <x:c r="K470" s="56" t="n">
        <x:v>0</x:v>
      </x:c>
      <x:c r="L470" s="53" t="str">
        <x:v>COMPLETE</x:v>
      </x:c>
    </x:row>
    <x:row r="471">
      <x:c r="A471" s="45" t="str">
        <x:v>GSE110487</x:v>
      </x:c>
      <x:c r="B471" s="46" t="str">
        <x:v>SIG034</x:v>
      </x:c>
      <x:c r="C471" s="46" t="str">
        <x:v>KLRB1</x:v>
      </x:c>
      <x:c r="D471" s="57" t="n">
        <x:v>1</x:v>
      </x:c>
      <x:c r="E471" s="46" t="str">
        <x:v>KLRB1</x:v>
      </x:c>
      <x:c r="F471" s="46" t="str">
        <x:v>KLRB1</x:v>
      </x:c>
      <x:c r="G471" s="46" t="str">
        <x:v>NO</x:v>
      </x:c>
      <x:c r="H471" s="61" t="n">
        <x:v>4.92112148095233</x:v>
      </x:c>
      <x:c r="I471" s="61" t="n">
        <x:v>8.81652490427116</x:v>
      </x:c>
      <x:c r="J471" s="57" t="n">
        <x:v>0</x:v>
      </x:c>
      <x:c r="K471" s="57" t="n">
        <x:v>0</x:v>
      </x:c>
      <x:c r="L471" s="47" t="str">
        <x:v>COMPLETE</x:v>
      </x:c>
    </x:row>
  </x:sheetData>
  <x:mergeCells>
    <x:mergeCell ref="A1:L1"/>
    <x:mergeCell ref="A2:L2"/>
  </x:mergeCells>
  <x:conditionalFormatting sqref="L4:L471">
    <x:cfRule type="containsText" dxfId="14" priority="1" operator="containsText" text="RED"/>
    <x:cfRule type="containsText" dxfId="15" priority="2" operator="containsText" text="FAIL"/>
    <x:cfRule type="containsText" dxfId="16" priority="3" operator="containsText" text="AMBER"/>
    <x:cfRule type="containsText" dxfId="17" priority="4" operator="containsText" text="EXPECTED"/>
    <x:cfRule type="containsText" dxfId="18" priority="5" operator="containsText" text="PASS"/>
    <x:cfRule type="containsText" dxfId="19" priority="6" operator="containsText" text="GREEN"/>
    <x:cfRule type="containsText" dxfId="20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391ca122cb1e4b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</x:cols>
  <x:sheetData>
    <x:row r="1" ht="27" customHeight="1">
      <x:c r="A1" s="13" t="str">
        <x:v>Independent score recalculation quality control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7,824 v1.0.1 scores were independently recomputed from locked expression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signature_id</x:v>
      </x:c>
      <x:c r="C3" s="19" t="str">
        <x:v>sample_n</x:v>
      </x:c>
      <x:c r="D3" s="19" t="str">
        <x:v>max_raw_absolute_error</x:v>
      </x:c>
      <x:c r="E3" s="19" t="str">
        <x:v>mean_raw_absolute_error</x:v>
      </x:c>
      <x:c r="F3" s="19" t="str">
        <x:v>max_oriented_absolute_error</x:v>
      </x:c>
      <x:c r="G3" s="19" t="str">
        <x:v>status</x:v>
      </x:c>
    </x:row>
    <x:row r="4">
      <x:c r="A4" s="48" t="str">
        <x:v>GSE236713</x:v>
      </x:c>
      <x:c r="B4" s="49" t="str">
        <x:v>SIG001</x:v>
      </x:c>
      <x:c r="C4" s="54" t="n">
        <x:v>447</x:v>
      </x:c>
      <x:c r="D4" s="58" t="n">
        <x:v>0</x:v>
      </x:c>
      <x:c r="E4" s="58" t="n">
        <x:v>0</x:v>
      </x:c>
      <x:c r="F4" s="58" t="n">
        <x:v>0</x:v>
      </x:c>
      <x:c r="G4" s="50" t="str">
        <x:v>PASS</x:v>
      </x:c>
    </x:row>
    <x:row r="5">
      <x:c r="A5" s="42" t="str">
        <x:v>GSE236713</x:v>
      </x:c>
      <x:c r="B5" s="43" t="str">
        <x:v>SIG002</x:v>
      </x:c>
      <x:c r="C5" s="55" t="n">
        <x:v>447</x:v>
      </x:c>
      <x:c r="D5" s="59" t="n">
        <x:v>0</x:v>
      </x:c>
      <x:c r="E5" s="59" t="n">
        <x:v>0</x:v>
      </x:c>
      <x:c r="F5" s="59" t="n">
        <x:v>0</x:v>
      </x:c>
      <x:c r="G5" s="44" t="str">
        <x:v>PASS</x:v>
      </x:c>
    </x:row>
    <x:row r="6">
      <x:c r="A6" s="51" t="str">
        <x:v>GSE236713</x:v>
      </x:c>
      <x:c r="B6" s="52" t="str">
        <x:v>SIG003</x:v>
      </x:c>
      <x:c r="C6" s="56" t="n">
        <x:v>447</x:v>
      </x:c>
      <x:c r="D6" s="60" t="n">
        <x:v>0</x:v>
      </x:c>
      <x:c r="E6" s="60" t="n">
        <x:v>0</x:v>
      </x:c>
      <x:c r="F6" s="60" t="n">
        <x:v>0</x:v>
      </x:c>
      <x:c r="G6" s="53" t="str">
        <x:v>PASS</x:v>
      </x:c>
    </x:row>
    <x:row r="7">
      <x:c r="A7" s="42" t="str">
        <x:v>GSE236713</x:v>
      </x:c>
      <x:c r="B7" s="43" t="str">
        <x:v>SIG004</x:v>
      </x:c>
      <x:c r="C7" s="55" t="n">
        <x:v>447</x:v>
      </x:c>
      <x:c r="D7" s="59" t="n">
        <x:v>0</x:v>
      </x:c>
      <x:c r="E7" s="59" t="n">
        <x:v>0</x:v>
      </x:c>
      <x:c r="F7" s="59" t="n">
        <x:v>0</x:v>
      </x:c>
      <x:c r="G7" s="44" t="str">
        <x:v>PASS</x:v>
      </x:c>
    </x:row>
    <x:row r="8">
      <x:c r="A8" s="51" t="str">
        <x:v>GSE236713</x:v>
      </x:c>
      <x:c r="B8" s="52" t="str">
        <x:v>SIG022</x:v>
      </x:c>
      <x:c r="C8" s="56" t="n">
        <x:v>447</x:v>
      </x:c>
      <x:c r="D8" s="60" t="n">
        <x:v>0</x:v>
      </x:c>
      <x:c r="E8" s="60" t="n">
        <x:v>0</x:v>
      </x:c>
      <x:c r="F8" s="60" t="n">
        <x:v>0</x:v>
      </x:c>
      <x:c r="G8" s="53" t="str">
        <x:v>PASS</x:v>
      </x:c>
    </x:row>
    <x:row r="9">
      <x:c r="A9" s="42" t="str">
        <x:v>GSE236713</x:v>
      </x:c>
      <x:c r="B9" s="43" t="str">
        <x:v>SIG023</x:v>
      </x:c>
      <x:c r="C9" s="55" t="n">
        <x:v>447</x:v>
      </x:c>
      <x:c r="D9" s="59" t="n">
        <x:v>0</x:v>
      </x:c>
      <x:c r="E9" s="59" t="n">
        <x:v>0</x:v>
      </x:c>
      <x:c r="F9" s="59" t="n">
        <x:v>0</x:v>
      </x:c>
      <x:c r="G9" s="44" t="str">
        <x:v>PASS</x:v>
      </x:c>
    </x:row>
    <x:row r="10">
      <x:c r="A10" s="51" t="str">
        <x:v>GSE236713</x:v>
      </x:c>
      <x:c r="B10" s="52" t="str">
        <x:v>SIG033</x:v>
      </x:c>
      <x:c r="C10" s="56" t="n">
        <x:v>447</x:v>
      </x:c>
      <x:c r="D10" s="60" t="n">
        <x:v>0</x:v>
      </x:c>
      <x:c r="E10" s="60" t="n">
        <x:v>0</x:v>
      </x:c>
      <x:c r="F10" s="60" t="n">
        <x:v>0</x:v>
      </x:c>
      <x:c r="G10" s="53" t="str">
        <x:v>PASS</x:v>
      </x:c>
    </x:row>
    <x:row r="11">
      <x:c r="A11" s="42" t="str">
        <x:v>GSE236713</x:v>
      </x:c>
      <x:c r="B11" s="43" t="str">
        <x:v>SIG034</x:v>
      </x:c>
      <x:c r="C11" s="55" t="n">
        <x:v>447</x:v>
      </x:c>
      <x:c r="D11" s="59" t="n">
        <x:v>0</x:v>
      </x:c>
      <x:c r="E11" s="59" t="n">
        <x:v>0</x:v>
      </x:c>
      <x:c r="F11" s="59" t="n">
        <x:v>0</x:v>
      </x:c>
      <x:c r="G11" s="44" t="str">
        <x:v>PASS</x:v>
      </x:c>
    </x:row>
    <x:row r="12">
      <x:c r="A12" s="51" t="str">
        <x:v>GSE57065</x:v>
      </x:c>
      <x:c r="B12" s="52" t="str">
        <x:v>SIG001</x:v>
      </x:c>
      <x:c r="C12" s="56" t="n">
        <x:v>107</x:v>
      </x:c>
      <x:c r="D12" s="60" t="n">
        <x:v>0</x:v>
      </x:c>
      <x:c r="E12" s="60" t="n">
        <x:v>0</x:v>
      </x:c>
      <x:c r="F12" s="60" t="n">
        <x:v>0</x:v>
      </x:c>
      <x:c r="G12" s="53" t="str">
        <x:v>PASS</x:v>
      </x:c>
    </x:row>
    <x:row r="13">
      <x:c r="A13" s="42" t="str">
        <x:v>GSE57065</x:v>
      </x:c>
      <x:c r="B13" s="43" t="str">
        <x:v>SIG002</x:v>
      </x:c>
      <x:c r="C13" s="55" t="n">
        <x:v>107</x:v>
      </x:c>
      <x:c r="D13" s="59" t="n">
        <x:v>0</x:v>
      </x:c>
      <x:c r="E13" s="59" t="n">
        <x:v>0</x:v>
      </x:c>
      <x:c r="F13" s="59" t="n">
        <x:v>0</x:v>
      </x:c>
      <x:c r="G13" s="44" t="str">
        <x:v>PASS</x:v>
      </x:c>
    </x:row>
    <x:row r="14">
      <x:c r="A14" s="51" t="str">
        <x:v>GSE57065</x:v>
      </x:c>
      <x:c r="B14" s="52" t="str">
        <x:v>SIG003</x:v>
      </x:c>
      <x:c r="C14" s="56" t="n">
        <x:v>107</x:v>
      </x:c>
      <x:c r="D14" s="60" t="n">
        <x:v>0</x:v>
      </x:c>
      <x:c r="E14" s="60" t="n">
        <x:v>0</x:v>
      </x:c>
      <x:c r="F14" s="60" t="n">
        <x:v>0</x:v>
      </x:c>
      <x:c r="G14" s="53" t="str">
        <x:v>PASS</x:v>
      </x:c>
    </x:row>
    <x:row r="15">
      <x:c r="A15" s="42" t="str">
        <x:v>GSE57065</x:v>
      </x:c>
      <x:c r="B15" s="43" t="str">
        <x:v>SIG004</x:v>
      </x:c>
      <x:c r="C15" s="55" t="n">
        <x:v>107</x:v>
      </x:c>
      <x:c r="D15" s="59" t="n">
        <x:v>0</x:v>
      </x:c>
      <x:c r="E15" s="59" t="n">
        <x:v>0</x:v>
      </x:c>
      <x:c r="F15" s="59" t="n">
        <x:v>0</x:v>
      </x:c>
      <x:c r="G15" s="44" t="str">
        <x:v>PASS</x:v>
      </x:c>
    </x:row>
    <x:row r="16">
      <x:c r="A16" s="51" t="str">
        <x:v>GSE57065</x:v>
      </x:c>
      <x:c r="B16" s="52" t="str">
        <x:v>SIG022</x:v>
      </x:c>
      <x:c r="C16" s="56" t="n">
        <x:v>107</x:v>
      </x:c>
      <x:c r="D16" s="60" t="n">
        <x:v>0</x:v>
      </x:c>
      <x:c r="E16" s="60" t="n">
        <x:v>0</x:v>
      </x:c>
      <x:c r="F16" s="60" t="n">
        <x:v>0</x:v>
      </x:c>
      <x:c r="G16" s="53" t="str">
        <x:v>PASS</x:v>
      </x:c>
    </x:row>
    <x:row r="17">
      <x:c r="A17" s="42" t="str">
        <x:v>GSE57065</x:v>
      </x:c>
      <x:c r="B17" s="43" t="str">
        <x:v>SIG023</x:v>
      </x:c>
      <x:c r="C17" s="55" t="n">
        <x:v>107</x:v>
      </x:c>
      <x:c r="D17" s="59" t="n">
        <x:v>0</x:v>
      </x:c>
      <x:c r="E17" s="59" t="n">
        <x:v>0</x:v>
      </x:c>
      <x:c r="F17" s="59" t="n">
        <x:v>0</x:v>
      </x:c>
      <x:c r="G17" s="44" t="str">
        <x:v>PASS</x:v>
      </x:c>
    </x:row>
    <x:row r="18">
      <x:c r="A18" s="51" t="str">
        <x:v>GSE57065</x:v>
      </x:c>
      <x:c r="B18" s="52" t="str">
        <x:v>SIG033</x:v>
      </x:c>
      <x:c r="C18" s="56" t="n">
        <x:v>107</x:v>
      </x:c>
      <x:c r="D18" s="60" t="n">
        <x:v>0</x:v>
      </x:c>
      <x:c r="E18" s="60" t="n">
        <x:v>0</x:v>
      </x:c>
      <x:c r="F18" s="60" t="n">
        <x:v>0</x:v>
      </x:c>
      <x:c r="G18" s="53" t="str">
        <x:v>PASS</x:v>
      </x:c>
    </x:row>
    <x:row r="19">
      <x:c r="A19" s="42" t="str">
        <x:v>GSE57065</x:v>
      </x:c>
      <x:c r="B19" s="43" t="str">
        <x:v>SIG034</x:v>
      </x:c>
      <x:c r="C19" s="55" t="n">
        <x:v>107</x:v>
      </x:c>
      <x:c r="D19" s="59" t="n">
        <x:v>0</x:v>
      </x:c>
      <x:c r="E19" s="59" t="n">
        <x:v>0</x:v>
      </x:c>
      <x:c r="F19" s="59" t="n">
        <x:v>0</x:v>
      </x:c>
      <x:c r="G19" s="44" t="str">
        <x:v>PASS</x:v>
      </x:c>
    </x:row>
    <x:row r="20">
      <x:c r="A20" s="51" t="str">
        <x:v>GSE95233</x:v>
      </x:c>
      <x:c r="B20" s="52" t="str">
        <x:v>SIG001</x:v>
      </x:c>
      <x:c r="C20" s="56" t="n">
        <x:v>124</x:v>
      </x:c>
      <x:c r="D20" s="60" t="n">
        <x:v>0</x:v>
      </x:c>
      <x:c r="E20" s="60" t="n">
        <x:v>0</x:v>
      </x:c>
      <x:c r="F20" s="60" t="n">
        <x:v>0</x:v>
      </x:c>
      <x:c r="G20" s="53" t="str">
        <x:v>PASS</x:v>
      </x:c>
    </x:row>
    <x:row r="21">
      <x:c r="A21" s="42" t="str">
        <x:v>GSE95233</x:v>
      </x:c>
      <x:c r="B21" s="43" t="str">
        <x:v>SIG002</x:v>
      </x:c>
      <x:c r="C21" s="55" t="n">
        <x:v>124</x:v>
      </x:c>
      <x:c r="D21" s="59" t="n">
        <x:v>0</x:v>
      </x:c>
      <x:c r="E21" s="59" t="n">
        <x:v>0</x:v>
      </x:c>
      <x:c r="F21" s="59" t="n">
        <x:v>0</x:v>
      </x:c>
      <x:c r="G21" s="44" t="str">
        <x:v>PASS</x:v>
      </x:c>
    </x:row>
    <x:row r="22">
      <x:c r="A22" s="51" t="str">
        <x:v>GSE95233</x:v>
      </x:c>
      <x:c r="B22" s="52" t="str">
        <x:v>SIG003</x:v>
      </x:c>
      <x:c r="C22" s="56" t="n">
        <x:v>124</x:v>
      </x:c>
      <x:c r="D22" s="60" t="n">
        <x:v>0</x:v>
      </x:c>
      <x:c r="E22" s="60" t="n">
        <x:v>0</x:v>
      </x:c>
      <x:c r="F22" s="60" t="n">
        <x:v>0</x:v>
      </x:c>
      <x:c r="G22" s="53" t="str">
        <x:v>PASS</x:v>
      </x:c>
    </x:row>
    <x:row r="23">
      <x:c r="A23" s="42" t="str">
        <x:v>GSE95233</x:v>
      </x:c>
      <x:c r="B23" s="43" t="str">
        <x:v>SIG004</x:v>
      </x:c>
      <x:c r="C23" s="55" t="n">
        <x:v>124</x:v>
      </x:c>
      <x:c r="D23" s="59" t="n">
        <x:v>0</x:v>
      </x:c>
      <x:c r="E23" s="59" t="n">
        <x:v>0</x:v>
      </x:c>
      <x:c r="F23" s="59" t="n">
        <x:v>0</x:v>
      </x:c>
      <x:c r="G23" s="44" t="str">
        <x:v>PASS</x:v>
      </x:c>
    </x:row>
    <x:row r="24">
      <x:c r="A24" s="51" t="str">
        <x:v>GSE95233</x:v>
      </x:c>
      <x:c r="B24" s="52" t="str">
        <x:v>SIG022</x:v>
      </x:c>
      <x:c r="C24" s="56" t="n">
        <x:v>124</x:v>
      </x:c>
      <x:c r="D24" s="60" t="n">
        <x:v>0</x:v>
      </x:c>
      <x:c r="E24" s="60" t="n">
        <x:v>0</x:v>
      </x:c>
      <x:c r="F24" s="60" t="n">
        <x:v>0</x:v>
      </x:c>
      <x:c r="G24" s="53" t="str">
        <x:v>PASS</x:v>
      </x:c>
    </x:row>
    <x:row r="25">
      <x:c r="A25" s="42" t="str">
        <x:v>GSE95233</x:v>
      </x:c>
      <x:c r="B25" s="43" t="str">
        <x:v>SIG023</x:v>
      </x:c>
      <x:c r="C25" s="55" t="n">
        <x:v>124</x:v>
      </x:c>
      <x:c r="D25" s="59" t="n">
        <x:v>0</x:v>
      </x:c>
      <x:c r="E25" s="59" t="n">
        <x:v>0</x:v>
      </x:c>
      <x:c r="F25" s="59" t="n">
        <x:v>0</x:v>
      </x:c>
      <x:c r="G25" s="44" t="str">
        <x:v>PASS</x:v>
      </x:c>
    </x:row>
    <x:row r="26">
      <x:c r="A26" s="51" t="str">
        <x:v>GSE95233</x:v>
      </x:c>
      <x:c r="B26" s="52" t="str">
        <x:v>SIG033</x:v>
      </x:c>
      <x:c r="C26" s="56" t="n">
        <x:v>124</x:v>
      </x:c>
      <x:c r="D26" s="60" t="n">
        <x:v>0</x:v>
      </x:c>
      <x:c r="E26" s="60" t="n">
        <x:v>0</x:v>
      </x:c>
      <x:c r="F26" s="60" t="n">
        <x:v>0</x:v>
      </x:c>
      <x:c r="G26" s="53" t="str">
        <x:v>PASS</x:v>
      </x:c>
    </x:row>
    <x:row r="27">
      <x:c r="A27" s="42" t="str">
        <x:v>GSE95233</x:v>
      </x:c>
      <x:c r="B27" s="43" t="str">
        <x:v>SIG034</x:v>
      </x:c>
      <x:c r="C27" s="55" t="n">
        <x:v>124</x:v>
      </x:c>
      <x:c r="D27" s="59" t="n">
        <x:v>0</x:v>
      </x:c>
      <x:c r="E27" s="59" t="n">
        <x:v>0</x:v>
      </x:c>
      <x:c r="F27" s="59" t="n">
        <x:v>0</x:v>
      </x:c>
      <x:c r="G27" s="44" t="str">
        <x:v>PASS</x:v>
      </x:c>
    </x:row>
    <x:row r="28">
      <x:c r="A28" s="51" t="str">
        <x:v>GSE8121</x:v>
      </x:c>
      <x:c r="B28" s="52" t="str">
        <x:v>SIG001</x:v>
      </x:c>
      <x:c r="C28" s="56" t="n">
        <x:v>75</x:v>
      </x:c>
      <x:c r="D28" s="60" t="n">
        <x:v>0</x:v>
      </x:c>
      <x:c r="E28" s="60" t="n">
        <x:v>0</x:v>
      </x:c>
      <x:c r="F28" s="60" t="n">
        <x:v>0</x:v>
      </x:c>
      <x:c r="G28" s="53" t="str">
        <x:v>PASS</x:v>
      </x:c>
    </x:row>
    <x:row r="29">
      <x:c r="A29" s="42" t="str">
        <x:v>GSE8121</x:v>
      </x:c>
      <x:c r="B29" s="43" t="str">
        <x:v>SIG002</x:v>
      </x:c>
      <x:c r="C29" s="55" t="n">
        <x:v>75</x:v>
      </x:c>
      <x:c r="D29" s="59" t="n">
        <x:v>0</x:v>
      </x:c>
      <x:c r="E29" s="59" t="n">
        <x:v>0</x:v>
      </x:c>
      <x:c r="F29" s="59" t="n">
        <x:v>0</x:v>
      </x:c>
      <x:c r="G29" s="44" t="str">
        <x:v>PASS</x:v>
      </x:c>
    </x:row>
    <x:row r="30">
      <x:c r="A30" s="51" t="str">
        <x:v>GSE8121</x:v>
      </x:c>
      <x:c r="B30" s="52" t="str">
        <x:v>SIG003</x:v>
      </x:c>
      <x:c r="C30" s="56" t="n">
        <x:v>75</x:v>
      </x:c>
      <x:c r="D30" s="60" t="n">
        <x:v>0</x:v>
      </x:c>
      <x:c r="E30" s="60" t="n">
        <x:v>0</x:v>
      </x:c>
      <x:c r="F30" s="60" t="n">
        <x:v>0</x:v>
      </x:c>
      <x:c r="G30" s="53" t="str">
        <x:v>PASS</x:v>
      </x:c>
    </x:row>
    <x:row r="31">
      <x:c r="A31" s="42" t="str">
        <x:v>GSE8121</x:v>
      </x:c>
      <x:c r="B31" s="43" t="str">
        <x:v>SIG004</x:v>
      </x:c>
      <x:c r="C31" s="55" t="n">
        <x:v>75</x:v>
      </x:c>
      <x:c r="D31" s="59" t="n">
        <x:v>0</x:v>
      </x:c>
      <x:c r="E31" s="59" t="n">
        <x:v>0</x:v>
      </x:c>
      <x:c r="F31" s="59" t="n">
        <x:v>0</x:v>
      </x:c>
      <x:c r="G31" s="44" t="str">
        <x:v>PASS</x:v>
      </x:c>
    </x:row>
    <x:row r="32">
      <x:c r="A32" s="51" t="str">
        <x:v>GSE8121</x:v>
      </x:c>
      <x:c r="B32" s="52" t="str">
        <x:v>SIG022</x:v>
      </x:c>
      <x:c r="C32" s="56" t="n">
        <x:v>75</x:v>
      </x:c>
      <x:c r="D32" s="60" t="n">
        <x:v>0</x:v>
      </x:c>
      <x:c r="E32" s="60" t="n">
        <x:v>0</x:v>
      </x:c>
      <x:c r="F32" s="60" t="n">
        <x:v>0</x:v>
      </x:c>
      <x:c r="G32" s="53" t="str">
        <x:v>PASS</x:v>
      </x:c>
    </x:row>
    <x:row r="33">
      <x:c r="A33" s="42" t="str">
        <x:v>GSE8121</x:v>
      </x:c>
      <x:c r="B33" s="43" t="str">
        <x:v>SIG023</x:v>
      </x:c>
      <x:c r="C33" s="55" t="n">
        <x:v>75</x:v>
      </x:c>
      <x:c r="D33" s="59" t="n">
        <x:v>0</x:v>
      </x:c>
      <x:c r="E33" s="59" t="n">
        <x:v>0</x:v>
      </x:c>
      <x:c r="F33" s="59" t="n">
        <x:v>0</x:v>
      </x:c>
      <x:c r="G33" s="44" t="str">
        <x:v>PASS</x:v>
      </x:c>
    </x:row>
    <x:row r="34">
      <x:c r="A34" s="51" t="str">
        <x:v>GSE8121</x:v>
      </x:c>
      <x:c r="B34" s="52" t="str">
        <x:v>SIG033</x:v>
      </x:c>
      <x:c r="C34" s="56" t="n">
        <x:v>75</x:v>
      </x:c>
      <x:c r="D34" s="60" t="n">
        <x:v>0</x:v>
      </x:c>
      <x:c r="E34" s="60" t="n">
        <x:v>0</x:v>
      </x:c>
      <x:c r="F34" s="60" t="n">
        <x:v>0</x:v>
      </x:c>
      <x:c r="G34" s="53" t="str">
        <x:v>PASS</x:v>
      </x:c>
    </x:row>
    <x:row r="35">
      <x:c r="A35" s="42" t="str">
        <x:v>GSE8121</x:v>
      </x:c>
      <x:c r="B35" s="43" t="str">
        <x:v>SIG034</x:v>
      </x:c>
      <x:c r="C35" s="55" t="n">
        <x:v>75</x:v>
      </x:c>
      <x:c r="D35" s="59" t="n">
        <x:v>0</x:v>
      </x:c>
      <x:c r="E35" s="59" t="n">
        <x:v>0</x:v>
      </x:c>
      <x:c r="F35" s="59" t="n">
        <x:v>0</x:v>
      </x:c>
      <x:c r="G35" s="44" t="str">
        <x:v>PASS</x:v>
      </x:c>
    </x:row>
    <x:row r="36">
      <x:c r="A36" s="51" t="str">
        <x:v>GSE54514</x:v>
      </x:c>
      <x:c r="B36" s="52" t="str">
        <x:v>SIG001</x:v>
      </x:c>
      <x:c r="C36" s="56" t="n">
        <x:v>163</x:v>
      </x:c>
      <x:c r="D36" s="60" t="n">
        <x:v>0</x:v>
      </x:c>
      <x:c r="E36" s="60" t="n">
        <x:v>0</x:v>
      </x:c>
      <x:c r="F36" s="60" t="n">
        <x:v>0</x:v>
      </x:c>
      <x:c r="G36" s="53" t="str">
        <x:v>PASS</x:v>
      </x:c>
    </x:row>
    <x:row r="37">
      <x:c r="A37" s="42" t="str">
        <x:v>GSE54514</x:v>
      </x:c>
      <x:c r="B37" s="43" t="str">
        <x:v>SIG002</x:v>
      </x:c>
      <x:c r="C37" s="55" t="n">
        <x:v>163</x:v>
      </x:c>
      <x:c r="D37" s="59" t="n">
        <x:v>0</x:v>
      </x:c>
      <x:c r="E37" s="59" t="n">
        <x:v>0</x:v>
      </x:c>
      <x:c r="F37" s="59" t="n">
        <x:v>0</x:v>
      </x:c>
      <x:c r="G37" s="44" t="str">
        <x:v>PASS</x:v>
      </x:c>
    </x:row>
    <x:row r="38">
      <x:c r="A38" s="51" t="str">
        <x:v>GSE54514</x:v>
      </x:c>
      <x:c r="B38" s="52" t="str">
        <x:v>SIG003</x:v>
      </x:c>
      <x:c r="C38" s="56" t="n">
        <x:v>163</x:v>
      </x:c>
      <x:c r="D38" s="60" t="n">
        <x:v>0</x:v>
      </x:c>
      <x:c r="E38" s="60" t="n">
        <x:v>0</x:v>
      </x:c>
      <x:c r="F38" s="60" t="n">
        <x:v>0</x:v>
      </x:c>
      <x:c r="G38" s="53" t="str">
        <x:v>PASS</x:v>
      </x:c>
    </x:row>
    <x:row r="39">
      <x:c r="A39" s="42" t="str">
        <x:v>GSE54514</x:v>
      </x:c>
      <x:c r="B39" s="43" t="str">
        <x:v>SIG004</x:v>
      </x:c>
      <x:c r="C39" s="55" t="n">
        <x:v>163</x:v>
      </x:c>
      <x:c r="D39" s="59" t="n">
        <x:v>0</x:v>
      </x:c>
      <x:c r="E39" s="59" t="n">
        <x:v>0</x:v>
      </x:c>
      <x:c r="F39" s="59" t="n">
        <x:v>0</x:v>
      </x:c>
      <x:c r="G39" s="44" t="str">
        <x:v>PASS</x:v>
      </x:c>
    </x:row>
    <x:row r="40">
      <x:c r="A40" s="51" t="str">
        <x:v>GSE54514</x:v>
      </x:c>
      <x:c r="B40" s="52" t="str">
        <x:v>SIG022</x:v>
      </x:c>
      <x:c r="C40" s="56" t="n">
        <x:v>163</x:v>
      </x:c>
      <x:c r="D40" s="60" t="n">
        <x:v>0</x:v>
      </x:c>
      <x:c r="E40" s="60" t="n">
        <x:v>0</x:v>
      </x:c>
      <x:c r="F40" s="60" t="n">
        <x:v>0</x:v>
      </x:c>
      <x:c r="G40" s="53" t="str">
        <x:v>PASS</x:v>
      </x:c>
    </x:row>
    <x:row r="41">
      <x:c r="A41" s="42" t="str">
        <x:v>GSE54514</x:v>
      </x:c>
      <x:c r="B41" s="43" t="str">
        <x:v>SIG023</x:v>
      </x:c>
      <x:c r="C41" s="55" t="n">
        <x:v>163</x:v>
      </x:c>
      <x:c r="D41" s="59" t="n">
        <x:v>0</x:v>
      </x:c>
      <x:c r="E41" s="59" t="n">
        <x:v>0</x:v>
      </x:c>
      <x:c r="F41" s="59" t="n">
        <x:v>0</x:v>
      </x:c>
      <x:c r="G41" s="44" t="str">
        <x:v>PASS</x:v>
      </x:c>
    </x:row>
    <x:row r="42">
      <x:c r="A42" s="51" t="str">
        <x:v>GSE54514</x:v>
      </x:c>
      <x:c r="B42" s="52" t="str">
        <x:v>SIG033</x:v>
      </x:c>
      <x:c r="C42" s="56" t="n">
        <x:v>163</x:v>
      </x:c>
      <x:c r="D42" s="60" t="n">
        <x:v>0</x:v>
      </x:c>
      <x:c r="E42" s="60" t="n">
        <x:v>0</x:v>
      </x:c>
      <x:c r="F42" s="60" t="n">
        <x:v>0</x:v>
      </x:c>
      <x:c r="G42" s="53" t="str">
        <x:v>PASS</x:v>
      </x:c>
    </x:row>
    <x:row r="43">
      <x:c r="A43" s="42" t="str">
        <x:v>GSE54514</x:v>
      </x:c>
      <x:c r="B43" s="43" t="str">
        <x:v>SIG034</x:v>
      </x:c>
      <x:c r="C43" s="55" t="n">
        <x:v>163</x:v>
      </x:c>
      <x:c r="D43" s="59" t="n">
        <x:v>0</x:v>
      </x:c>
      <x:c r="E43" s="59" t="n">
        <x:v>0</x:v>
      </x:c>
      <x:c r="F43" s="59" t="n">
        <x:v>0</x:v>
      </x:c>
      <x:c r="G43" s="44" t="str">
        <x:v>PASS</x:v>
      </x:c>
    </x:row>
    <x:row r="44">
      <x:c r="A44" s="51" t="str">
        <x:v>GSE110487</x:v>
      </x:c>
      <x:c r="B44" s="52" t="str">
        <x:v>SIG001</x:v>
      </x:c>
      <x:c r="C44" s="56" t="n">
        <x:v>62</x:v>
      </x:c>
      <x:c r="D44" s="60" t="n">
        <x:v>0</x:v>
      </x:c>
      <x:c r="E44" s="60" t="n">
        <x:v>0</x:v>
      </x:c>
      <x:c r="F44" s="60" t="n">
        <x:v>0</x:v>
      </x:c>
      <x:c r="G44" s="53" t="str">
        <x:v>PASS</x:v>
      </x:c>
    </x:row>
    <x:row r="45">
      <x:c r="A45" s="42" t="str">
        <x:v>GSE110487</x:v>
      </x:c>
      <x:c r="B45" s="43" t="str">
        <x:v>SIG002</x:v>
      </x:c>
      <x:c r="C45" s="55" t="n">
        <x:v>62</x:v>
      </x:c>
      <x:c r="D45" s="59" t="n">
        <x:v>0</x:v>
      </x:c>
      <x:c r="E45" s="59" t="n">
        <x:v>0</x:v>
      </x:c>
      <x:c r="F45" s="59" t="n">
        <x:v>0</x:v>
      </x:c>
      <x:c r="G45" s="44" t="str">
        <x:v>PASS</x:v>
      </x:c>
    </x:row>
    <x:row r="46">
      <x:c r="A46" s="51" t="str">
        <x:v>GSE110487</x:v>
      </x:c>
      <x:c r="B46" s="52" t="str">
        <x:v>SIG003</x:v>
      </x:c>
      <x:c r="C46" s="56" t="n">
        <x:v>62</x:v>
      </x:c>
      <x:c r="D46" s="60" t="n">
        <x:v>0</x:v>
      </x:c>
      <x:c r="E46" s="60" t="n">
        <x:v>0</x:v>
      </x:c>
      <x:c r="F46" s="60" t="n">
        <x:v>0</x:v>
      </x:c>
      <x:c r="G46" s="53" t="str">
        <x:v>PASS</x:v>
      </x:c>
    </x:row>
    <x:row r="47">
      <x:c r="A47" s="42" t="str">
        <x:v>GSE110487</x:v>
      </x:c>
      <x:c r="B47" s="43" t="str">
        <x:v>SIG004</x:v>
      </x:c>
      <x:c r="C47" s="55" t="n">
        <x:v>62</x:v>
      </x:c>
      <x:c r="D47" s="59" t="n">
        <x:v>0</x:v>
      </x:c>
      <x:c r="E47" s="59" t="n">
        <x:v>0</x:v>
      </x:c>
      <x:c r="F47" s="59" t="n">
        <x:v>0</x:v>
      </x:c>
      <x:c r="G47" s="44" t="str">
        <x:v>PASS</x:v>
      </x:c>
    </x:row>
    <x:row r="48">
      <x:c r="A48" s="51" t="str">
        <x:v>GSE110487</x:v>
      </x:c>
      <x:c r="B48" s="52" t="str">
        <x:v>SIG022</x:v>
      </x:c>
      <x:c r="C48" s="56" t="n">
        <x:v>62</x:v>
      </x:c>
      <x:c r="D48" s="60" t="n">
        <x:v>0</x:v>
      </x:c>
      <x:c r="E48" s="60" t="n">
        <x:v>0</x:v>
      </x:c>
      <x:c r="F48" s="60" t="n">
        <x:v>0</x:v>
      </x:c>
      <x:c r="G48" s="53" t="str">
        <x:v>PASS</x:v>
      </x:c>
    </x:row>
    <x:row r="49">
      <x:c r="A49" s="42" t="str">
        <x:v>GSE110487</x:v>
      </x:c>
      <x:c r="B49" s="43" t="str">
        <x:v>SIG023</x:v>
      </x:c>
      <x:c r="C49" s="55" t="n">
        <x:v>62</x:v>
      </x:c>
      <x:c r="D49" s="59" t="n">
        <x:v>0</x:v>
      </x:c>
      <x:c r="E49" s="59" t="n">
        <x:v>0</x:v>
      </x:c>
      <x:c r="F49" s="59" t="n">
        <x:v>0</x:v>
      </x:c>
      <x:c r="G49" s="44" t="str">
        <x:v>PASS</x:v>
      </x:c>
    </x:row>
    <x:row r="50">
      <x:c r="A50" s="51" t="str">
        <x:v>GSE110487</x:v>
      </x:c>
      <x:c r="B50" s="52" t="str">
        <x:v>SIG033</x:v>
      </x:c>
      <x:c r="C50" s="56" t="n">
        <x:v>62</x:v>
      </x:c>
      <x:c r="D50" s="60" t="n">
        <x:v>0</x:v>
      </x:c>
      <x:c r="E50" s="60" t="n">
        <x:v>0</x:v>
      </x:c>
      <x:c r="F50" s="60" t="n">
        <x:v>0</x:v>
      </x:c>
      <x:c r="G50" s="53" t="str">
        <x:v>PASS</x:v>
      </x:c>
    </x:row>
    <x:row r="51">
      <x:c r="A51" s="45" t="str">
        <x:v>GSE110487</x:v>
      </x:c>
      <x:c r="B51" s="46" t="str">
        <x:v>SIG034</x:v>
      </x:c>
      <x:c r="C51" s="57" t="n">
        <x:v>62</x:v>
      </x:c>
      <x:c r="D51" s="61" t="n">
        <x:v>0</x:v>
      </x:c>
      <x:c r="E51" s="61" t="n">
        <x:v>0</x:v>
      </x:c>
      <x:c r="F51" s="61" t="n">
        <x:v>0</x:v>
      </x:c>
      <x:c r="G51" s="47" t="str">
        <x:v>PASS</x:v>
      </x:c>
    </x:row>
  </x:sheetData>
  <x:mergeCells>
    <x:mergeCell ref="A1:G1"/>
    <x:mergeCell ref="A2:G2"/>
  </x:mergeCells>
  <x:conditionalFormatting sqref="G4:G51">
    <x:cfRule type="containsText" dxfId="21" priority="1" operator="containsText" text="RED"/>
    <x:cfRule type="containsText" dxfId="22" priority="2" operator="containsText" text="FAIL"/>
    <x:cfRule type="containsText" dxfId="23" priority="3" operator="containsText" text="AMBER"/>
    <x:cfRule type="containsText" dxfId="24" priority="4" operator="containsText" text="EXPECTED"/>
    <x:cfRule type="containsText" dxfId="25" priority="5" operator="containsText" text="PASS"/>
    <x:cfRule type="containsText" dxfId="26" priority="6" operator="containsText" text="GREEN"/>
    <x:cfRule type="containsText" dxfId="27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9371f22b80f24a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7" customHeight="1">
      <x:c r="A1" s="13" t="str">
        <x:v>Expression-scale guardrails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Missing and nonpositive values are reported because ratio and geometric-mean formulas require finite compatible inputs.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dataset</x:v>
      </x:c>
      <x:c r="B3" s="19" t="str">
        <x:v>sample_n</x:v>
      </x:c>
      <x:c r="C3" s="19" t="str">
        <x:v>gene_n</x:v>
      </x:c>
      <x:c r="D3" s="19" t="str">
        <x:v>min_expression</x:v>
      </x:c>
      <x:c r="E3" s="19" t="str">
        <x:v>max_expression</x:v>
      </x:c>
      <x:c r="F3" s="19" t="str">
        <x:v>nonpositive_cell_n</x:v>
      </x:c>
      <x:c r="G3" s="19" t="str">
        <x:v>missing_cell_n</x:v>
      </x:c>
    </x:row>
    <x:row r="4">
      <x:c r="A4" s="48" t="str">
        <x:v>GSE236713</x:v>
      </x:c>
      <x:c r="B4" s="54" t="n">
        <x:v>447</x:v>
      </x:c>
      <x:c r="C4" s="54" t="n">
        <x:v>74</x:v>
      </x:c>
      <x:c r="D4" s="49" t="n">
        <x:v>0.504186942684625</x:v>
      </x:c>
      <x:c r="E4" s="49" t="n">
        <x:v>18.189941381303168</x:v>
      </x:c>
      <x:c r="F4" s="54" t="n">
        <x:v>0</x:v>
      </x:c>
      <x:c r="G4" s="62" t="n">
        <x:v>0</x:v>
      </x:c>
    </x:row>
    <x:row r="5">
      <x:c r="A5" s="42" t="str">
        <x:v>GSE57065</x:v>
      </x:c>
      <x:c r="B5" s="55" t="n">
        <x:v>107</x:v>
      </x:c>
      <x:c r="C5" s="55" t="n">
        <x:v>74</x:v>
      </x:c>
      <x:c r="D5" s="43" t="n">
        <x:v>1.78168</x:v>
      </x:c>
      <x:c r="E5" s="43" t="n">
        <x:v>13.3415</x:v>
      </x:c>
      <x:c r="F5" s="55" t="n">
        <x:v>0</x:v>
      </x:c>
      <x:c r="G5" s="63" t="n">
        <x:v>0</x:v>
      </x:c>
    </x:row>
    <x:row r="6">
      <x:c r="A6" s="51" t="str">
        <x:v>GSE95233</x:v>
      </x:c>
      <x:c r="B6" s="56" t="n">
        <x:v>124</x:v>
      </x:c>
      <x:c r="C6" s="56" t="n">
        <x:v>74</x:v>
      </x:c>
      <x:c r="D6" s="52" t="n">
        <x:v>1.28776327</x:v>
      </x:c>
      <x:c r="E6" s="52" t="n">
        <x:v>13.36272739</x:v>
      </x:c>
      <x:c r="F6" s="56" t="n">
        <x:v>0</x:v>
      </x:c>
      <x:c r="G6" s="64" t="n">
        <x:v>0</x:v>
      </x:c>
    </x:row>
    <x:row r="7">
      <x:c r="A7" s="42" t="str">
        <x:v>GSE8121</x:v>
      </x:c>
      <x:c r="B7" s="55" t="n">
        <x:v>75</x:v>
      </x:c>
      <x:c r="C7" s="55" t="n">
        <x:v>74</x:v>
      </x:c>
      <x:c r="D7" s="43" t="n">
        <x:v>0.055046372</x:v>
      </x:c>
      <x:c r="E7" s="43" t="n">
        <x:v>250.78769</x:v>
      </x:c>
      <x:c r="F7" s="55" t="n">
        <x:v>0</x:v>
      </x:c>
      <x:c r="G7" s="63" t="n">
        <x:v>0</x:v>
      </x:c>
    </x:row>
    <x:row r="8">
      <x:c r="A8" s="51" t="str">
        <x:v>GSE54514</x:v>
      </x:c>
      <x:c r="B8" s="56" t="n">
        <x:v>163</x:v>
      </x:c>
      <x:c r="C8" s="56" t="n">
        <x:v>74</x:v>
      </x:c>
      <x:c r="D8" s="52" t="n">
        <x:v>6.908921719</x:v>
      </x:c>
      <x:c r="E8" s="52" t="n">
        <x:v>14.84386253</x:v>
      </x:c>
      <x:c r="F8" s="56" t="n">
        <x:v>0</x:v>
      </x:c>
      <x:c r="G8" s="64" t="n">
        <x:v>0</x:v>
      </x:c>
    </x:row>
    <x:row r="9">
      <x:c r="A9" s="45" t="str">
        <x:v>GSE110487</x:v>
      </x:c>
      <x:c r="B9" s="57" t="n">
        <x:v>62</x:v>
      </x:c>
      <x:c r="C9" s="57" t="n">
        <x:v>74</x:v>
      </x:c>
      <x:c r="D9" s="46" t="n">
        <x:v>2.03635278336469</x:v>
      </x:c>
      <x:c r="E9" s="46" t="n">
        <x:v>15.731626304767</x:v>
      </x:c>
      <x:c r="F9" s="57" t="n">
        <x:v>0</x:v>
      </x:c>
      <x:c r="G9" s="65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73e7cfb4344e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7" customHeight="1">
      <x:c r="A1" s="13" t="str">
        <x:v>Diagnostic impact of the missing SIG001 5/6 coefficient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4" customHeight="1">
      <x:c r="A2" s="16" t="str">
        <x:v>Sample-score and paired-delta comparisons justify the REOPEN ANALYSIS decision.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42" customHeight="1">
      <x:c r="A3" s="19" t="str">
        <x:v>dataset</x:v>
      </x:c>
      <x:c r="B3" s="19" t="str">
        <x:v>level</x:v>
      </x:c>
      <x:c r="C3" s="19" t="str">
        <x:v>time_window</x:v>
      </x:c>
      <x:c r="D3" s="19" t="str">
        <x:v>n</x:v>
      </x:c>
      <x:c r="E3" s="19" t="str">
        <x:v>spearman_rho_current_vs_corrected</x:v>
      </x:c>
      <x:c r="F3" s="19" t="str">
        <x:v>rank_changed_n</x:v>
      </x:c>
      <x:c r="G3" s="19" t="str">
        <x:v>mean_current</x:v>
      </x:c>
      <x:c r="H3" s="19" t="str">
        <x:v>mean_corrected</x:v>
      </x:c>
      <x:c r="I3" s="19" t="str">
        <x:v>mean_absolute_difference</x:v>
      </x:c>
      <x:c r="J3" s="19" t="str">
        <x:v>sign_flip_n</x:v>
      </x:c>
    </x:row>
    <x:row r="4">
      <x:c r="A4" s="48" t="str">
        <x:v>GSE236713</x:v>
      </x:c>
      <x:c r="B4" s="49" t="str">
        <x:v>sample_score</x:v>
      </x:c>
      <x:c r="C4" s="49" t="str">
        <x:v>ALL</x:v>
      </x:c>
      <x:c r="D4" s="54" t="n">
        <x:v>447</x:v>
      </x:c>
      <x:c r="E4" s="58" t="n">
        <x:v>0.9984129730984695</x:v>
      </x:c>
      <x:c r="F4" s="54" t="n">
        <x:v>404</x:v>
      </x:c>
      <x:c r="G4" s="58" t="n">
        <x:v>-1.970535267719734</x:v>
      </x:c>
      <x:c r="H4" s="58" t="n">
        <x:v>-0.2584262607413269</x:v>
      </x:c>
      <x:c r="I4" s="58" t="n">
        <x:v>1.7121090069784066</x:v>
      </x:c>
      <x:c r="J4" s="62" t="n">
        <x:v>135</x:v>
      </x:c>
    </x:row>
    <x:row r="5">
      <x:c r="A5" s="42" t="str">
        <x:v>GSE57065</x:v>
      </x:c>
      <x:c r="B5" s="43" t="str">
        <x:v>sample_score</x:v>
      </x:c>
      <x:c r="C5" s="43" t="str">
        <x:v>ALL</x:v>
      </x:c>
      <x:c r="D5" s="55" t="n">
        <x:v>107</x:v>
      </x:c>
      <x:c r="E5" s="59" t="n">
        <x:v>0.9993926213287876</x:v>
      </x:c>
      <x:c r="F5" s="55" t="n">
        <x:v>55</x:v>
      </x:c>
      <x:c r="G5" s="59" t="n">
        <x:v>0.7818903859124379</x:v>
      </x:c>
      <x:c r="H5" s="59" t="n">
        <x:v>1.8570943672454496</x:v>
      </x:c>
      <x:c r="I5" s="59" t="n">
        <x:v>1.0752039813330116</x:v>
      </x:c>
      <x:c r="J5" s="63" t="n">
        <x:v>29</x:v>
      </x:c>
    </x:row>
    <x:row r="6">
      <x:c r="A6" s="51" t="str">
        <x:v>GSE95233</x:v>
      </x:c>
      <x:c r="B6" s="52" t="str">
        <x:v>sample_score</x:v>
      </x:c>
      <x:c r="C6" s="52" t="str">
        <x:v>ALL</x:v>
      </x:c>
      <x:c r="D6" s="56" t="n">
        <x:v>124</x:v>
      </x:c>
      <x:c r="E6" s="60" t="n">
        <x:v>0.9992761605035404</x:v>
      </x:c>
      <x:c r="F6" s="56" t="n">
        <x:v>73</x:v>
      </x:c>
      <x:c r="G6" s="60" t="n">
        <x:v>0.6915154615651596</x:v>
      </x:c>
      <x:c r="H6" s="60" t="n">
        <x:v>1.7478009973460866</x:v>
      </x:c>
      <x:c r="I6" s="60" t="n">
        <x:v>1.056285535780927</x:v>
      </x:c>
      <x:c r="J6" s="64" t="n">
        <x:v>12</x:v>
      </x:c>
    </x:row>
    <x:row r="7">
      <x:c r="A7" s="42" t="str">
        <x:v>GSE8121</x:v>
      </x:c>
      <x:c r="B7" s="43" t="str">
        <x:v>sample_score</x:v>
      </x:c>
      <x:c r="C7" s="43" t="str">
        <x:v>ALL</x:v>
      </x:c>
      <x:c r="D7" s="55" t="n">
        <x:v>75</x:v>
      </x:c>
      <x:c r="E7" s="59" t="n">
        <x:v>0.9989473684210526</x:v>
      </x:c>
      <x:c r="F7" s="55" t="n">
        <x:v>23</x:v>
      </x:c>
      <x:c r="G7" s="59" t="n">
        <x:v>1.6694975365479772</x:v>
      </x:c>
      <x:c r="H7" s="59" t="n">
        <x:v>1.7915381538220905</x:v>
      </x:c>
      <x:c r="I7" s="59" t="n">
        <x:v>0.1220406172741131</x:v>
      </x:c>
      <x:c r="J7" s="63" t="n">
        <x:v>6</x:v>
      </x:c>
    </x:row>
    <x:row r="8">
      <x:c r="A8" s="51" t="str">
        <x:v>GSE54514</x:v>
      </x:c>
      <x:c r="B8" s="52" t="str">
        <x:v>sample_score</x:v>
      </x:c>
      <x:c r="C8" s="52" t="str">
        <x:v>ALL</x:v>
      </x:c>
      <x:c r="D8" s="56" t="n">
        <x:v>163</x:v>
      </x:c>
      <x:c r="E8" s="60" t="n">
        <x:v>0.9990800317001124</x:v>
      </x:c>
      <x:c r="F8" s="56" t="n">
        <x:v>112</x:v>
      </x:c>
      <x:c r="G8" s="60" t="n">
        <x:v>0.2961610153583462</x:v>
      </x:c>
      <x:c r="H8" s="60" t="n">
        <x:v>1.6807570632318674</x:v>
      </x:c>
      <x:c r="I8" s="60" t="n">
        <x:v>1.384596047873521</x:v>
      </x:c>
      <x:c r="J8" s="64" t="n">
        <x:v>70</x:v>
      </x:c>
    </x:row>
    <x:row r="9">
      <x:c r="A9" s="42" t="str">
        <x:v>GSE110487</x:v>
      </x:c>
      <x:c r="B9" s="43" t="str">
        <x:v>sample_score</x:v>
      </x:c>
      <x:c r="C9" s="43" t="str">
        <x:v>ALL</x:v>
      </x:c>
      <x:c r="D9" s="55" t="n">
        <x:v>62</x:v>
      </x:c>
      <x:c r="E9" s="59" t="n">
        <x:v>0.9986401752662988</x:v>
      </x:c>
      <x:c r="F9" s="55" t="n">
        <x:v>25</x:v>
      </x:c>
      <x:c r="G9" s="59" t="n">
        <x:v>0.2110811170681246</x:v>
      </x:c>
      <x:c r="H9" s="59" t="n">
        <x:v>1.5539024611155428</x:v>
      </x:c>
      <x:c r="I9" s="59" t="n">
        <x:v>1.3428213440474177</x:v>
      </x:c>
      <x:c r="J9" s="63" t="n">
        <x:v>20</x:v>
      </x:c>
    </x:row>
    <x:row r="10">
      <x:c r="A10" s="51" t="str">
        <x:v>GSE110487</x:v>
      </x:c>
      <x:c r="B10" s="52" t="str">
        <x:v>paired_delta_z</x:v>
      </x:c>
      <x:c r="C10" s="52" t="str">
        <x:v>T2</x:v>
      </x:c>
      <x:c r="D10" s="56" t="n">
        <x:v>31</x:v>
      </x:c>
      <x:c r="E10" s="60" t="n">
        <x:v>0.995967741935484</x:v>
      </x:c>
      <x:c r="F10" s="56" t="n">
        <x:v>9</x:v>
      </x:c>
      <x:c r="G10" s="60" t="n">
        <x:v>-1.2857712075836494</x:v>
      </x:c>
      <x:c r="H10" s="60" t="n">
        <x:v>-1.310791765127853</x:v>
      </x:c>
      <x:c r="I10" s="60" t="n">
        <x:v>0.0490870018093583</x:v>
      </x:c>
      <x:c r="J10" s="64" t="n">
        <x:v>0</x:v>
      </x:c>
    </x:row>
    <x:row r="11">
      <x:c r="A11" s="42" t="str">
        <x:v>GSE236713</x:v>
      </x:c>
      <x:c r="B11" s="43" t="str">
        <x:v>paired_delta_z</x:v>
      </x:c>
      <x:c r="C11" s="43" t="str">
        <x:v>T1</x:v>
      </x:c>
      <x:c r="D11" s="55" t="n">
        <x:v>93</x:v>
      </x:c>
      <x:c r="E11" s="59" t="n">
        <x:v>0.9965832114827964</x:v>
      </x:c>
      <x:c r="F11" s="55" t="n">
        <x:v>62</x:v>
      </x:c>
      <x:c r="G11" s="59" t="n">
        <x:v>-0.3650644826509509</x:v>
      </x:c>
      <x:c r="H11" s="59" t="n">
        <x:v>-0.3135054405610381</x:v>
      </x:c>
      <x:c r="I11" s="59" t="n">
        <x:v>0.0761894267378044</x:v>
      </x:c>
      <x:c r="J11" s="63" t="n">
        <x:v>1</x:v>
      </x:c>
    </x:row>
    <x:row r="12">
      <x:c r="A12" s="51" t="str">
        <x:v>GSE236713</x:v>
      </x:c>
      <x:c r="B12" s="52" t="str">
        <x:v>paired_delta_z</x:v>
      </x:c>
      <x:c r="C12" s="52" t="str">
        <x:v>T4</x:v>
      </x:c>
      <x:c r="D12" s="56" t="n">
        <x:v>68</x:v>
      </x:c>
      <x:c r="E12" s="60" t="n">
        <x:v>0.9972134213841278</x:v>
      </x:c>
      <x:c r="F12" s="56" t="n">
        <x:v>41</x:v>
      </x:c>
      <x:c r="G12" s="60" t="n">
        <x:v>-0.7899000454624185</x:v>
      </x:c>
      <x:c r="H12" s="60" t="n">
        <x:v>-0.6887444724714091</x:v>
      </x:c>
      <x:c r="I12" s="60" t="n">
        <x:v>0.1111156123067721</x:v>
      </x:c>
      <x:c r="J12" s="64" t="n">
        <x:v>3</x:v>
      </x:c>
    </x:row>
    <x:row r="13">
      <x:c r="A13" s="42" t="str">
        <x:v>GSE54514</x:v>
      </x:c>
      <x:c r="B13" s="43" t="str">
        <x:v>paired_delta_z</x:v>
      </x:c>
      <x:c r="C13" s="43" t="str">
        <x:v>T1</x:v>
      </x:c>
      <x:c r="D13" s="55" t="n">
        <x:v>31</x:v>
      </x:c>
      <x:c r="E13" s="59" t="n">
        <x:v>0.9943548387096776</x:v>
      </x:c>
      <x:c r="F13" s="55" t="n">
        <x:v>8</x:v>
      </x:c>
      <x:c r="G13" s="59" t="n">
        <x:v>-0.4193548159464256</x:v>
      </x:c>
      <x:c r="H13" s="59" t="n">
        <x:v>-0.4095261197454758</x:v>
      </x:c>
      <x:c r="I13" s="59" t="n">
        <x:v>0.0500321323367737</x:v>
      </x:c>
      <x:c r="J13" s="63" t="n">
        <x:v>1</x:v>
      </x:c>
    </x:row>
    <x:row r="14">
      <x:c r="A14" s="51" t="str">
        <x:v>GSE54514</x:v>
      </x:c>
      <x:c r="B14" s="52" t="str">
        <x:v>paired_delta_z</x:v>
      </x:c>
      <x:c r="C14" s="52" t="str">
        <x:v>T2</x:v>
      </x:c>
      <x:c r="D14" s="56" t="n">
        <x:v>28</x:v>
      </x:c>
      <x:c r="E14" s="60" t="n">
        <x:v>0.9978106185002736</x:v>
      </x:c>
      <x:c r="F14" s="56" t="n">
        <x:v>8</x:v>
      </x:c>
      <x:c r="G14" s="60" t="n">
        <x:v>-0.9255686468028926</x:v>
      </x:c>
      <x:c r="H14" s="60" t="n">
        <x:v>-0.8808928677196688</x:v>
      </x:c>
      <x:c r="I14" s="60" t="n">
        <x:v>0.0515609876373212</x:v>
      </x:c>
      <x:c r="J14" s="64" t="n">
        <x:v>0</x:v>
      </x:c>
    </x:row>
    <x:row r="15">
      <x:c r="A15" s="42" t="str">
        <x:v>GSE54514</x:v>
      </x:c>
      <x:c r="B15" s="43" t="str">
        <x:v>paired_delta_z</x:v>
      </x:c>
      <x:c r="C15" s="43" t="str">
        <x:v>T3</x:v>
      </x:c>
      <x:c r="D15" s="55" t="n">
        <x:v>18</x:v>
      </x:c>
      <x:c r="E15" s="59" t="n">
        <x:v>0.9917440660474718</x:v>
      </x:c>
      <x:c r="F15" s="55" t="n">
        <x:v>8</x:v>
      </x:c>
      <x:c r="G15" s="59" t="n">
        <x:v>-0.4213661345923834</x:v>
      </x:c>
      <x:c r="H15" s="59" t="n">
        <x:v>-0.4020861217008641</x:v>
      </x:c>
      <x:c r="I15" s="59" t="n">
        <x:v>0.06068136455784</x:v>
      </x:c>
      <x:c r="J15" s="63" t="n">
        <x:v>0</x:v>
      </x:c>
    </x:row>
    <x:row r="16">
      <x:c r="A16" s="51" t="str">
        <x:v>GSE54514</x:v>
      </x:c>
      <x:c r="B16" s="52" t="str">
        <x:v>paired_delta_z</x:v>
      </x:c>
      <x:c r="C16" s="52" t="str">
        <x:v>T4</x:v>
      </x:c>
      <x:c r="D16" s="56" t="n">
        <x:v>14</x:v>
      </x:c>
      <x:c r="E16" s="60" t="n">
        <x:v>1</x:v>
      </x:c>
      <x:c r="F16" s="56" t="n">
        <x:v>0</x:v>
      </x:c>
      <x:c r="G16" s="60" t="n">
        <x:v>-0.8827859273834088</x:v>
      </x:c>
      <x:c r="H16" s="60" t="n">
        <x:v>-0.8651044388425626</x:v>
      </x:c>
      <x:c r="I16" s="60" t="n">
        <x:v>0.060925305445752</x:v>
      </x:c>
      <x:c r="J16" s="64" t="n">
        <x:v>0</x:v>
      </x:c>
    </x:row>
    <x:row r="17">
      <x:c r="A17" s="42" t="str">
        <x:v>GSE57065</x:v>
      </x:c>
      <x:c r="B17" s="43" t="str">
        <x:v>paired_delta_z</x:v>
      </x:c>
      <x:c r="C17" s="43" t="str">
        <x:v>T1</x:v>
      </x:c>
      <x:c r="D17" s="55" t="n">
        <x:v>28</x:v>
      </x:c>
      <x:c r="E17" s="59" t="n">
        <x:v>0.9989053092501368</x:v>
      </x:c>
      <x:c r="F17" s="55" t="n">
        <x:v>4</x:v>
      </x:c>
      <x:c r="G17" s="59" t="n">
        <x:v>-0.437736583447145</x:v>
      </x:c>
      <x:c r="H17" s="59" t="n">
        <x:v>-0.4384751306639424</x:v>
      </x:c>
      <x:c r="I17" s="59" t="n">
        <x:v>0.0244119924713379</x:v>
      </x:c>
      <x:c r="J17" s="63" t="n">
        <x:v>0</x:v>
      </x:c>
    </x:row>
    <x:row r="18">
      <x:c r="A18" s="51" t="str">
        <x:v>GSE57065</x:v>
      </x:c>
      <x:c r="B18" s="52" t="str">
        <x:v>paired_delta_z</x:v>
      </x:c>
      <x:c r="C18" s="52" t="str">
        <x:v>T2</x:v>
      </x:c>
      <x:c r="D18" s="56" t="n">
        <x:v>26</x:v>
      </x:c>
      <x:c r="E18" s="60" t="n">
        <x:v>0.9965811965811966</x:v>
      </x:c>
      <x:c r="F18" s="56" t="n">
        <x:v>10</x:v>
      </x:c>
      <x:c r="G18" s="60" t="n">
        <x:v>-0.7212108965502065</x:v>
      </x:c>
      <x:c r="H18" s="60" t="n">
        <x:v>-0.728245540292813</x:v>
      </x:c>
      <x:c r="I18" s="60" t="n">
        <x:v>0.0362719987744128</x:v>
      </x:c>
      <x:c r="J18" s="64" t="n">
        <x:v>0</x:v>
      </x:c>
    </x:row>
    <x:row r="19">
      <x:c r="A19" s="42" t="str">
        <x:v>GSE8121</x:v>
      </x:c>
      <x:c r="B19" s="43" t="str">
        <x:v>paired_delta_z</x:v>
      </x:c>
      <x:c r="C19" s="43" t="str">
        <x:v>T2</x:v>
      </x:c>
      <x:c r="D19" s="55" t="n">
        <x:v>30</x:v>
      </x:c>
      <x:c r="E19" s="59" t="n">
        <x:v>0.9964404894327028</x:v>
      </x:c>
      <x:c r="F19" s="55" t="n">
        <x:v>10</x:v>
      </x:c>
      <x:c r="G19" s="59" t="n">
        <x:v>-0.2891101103936583</x:v>
      </x:c>
      <x:c r="H19" s="59" t="n">
        <x:v>-0.2568953487777936</x:v>
      </x:c>
      <x:c r="I19" s="59" t="n">
        <x:v>0.0606941953756869</x:v>
      </x:c>
      <x:c r="J19" s="63" t="n">
        <x:v>0</x:v>
      </x:c>
    </x:row>
    <x:row r="20">
      <x:c r="A20" s="51" t="str">
        <x:v>GSE95233</x:v>
      </x:c>
      <x:c r="B20" s="52" t="str">
        <x:v>paired_delta_z</x:v>
      </x:c>
      <x:c r="C20" s="52" t="str">
        <x:v>T1</x:v>
      </x:c>
      <x:c r="D20" s="56" t="n">
        <x:v>20</x:v>
      </x:c>
      <x:c r="E20" s="60" t="n">
        <x:v>0.9984962406015038</x:v>
      </x:c>
      <x:c r="F20" s="56" t="n">
        <x:v>2</x:v>
      </x:c>
      <x:c r="G20" s="60" t="n">
        <x:v>-0.363100693631743</x:v>
      </x:c>
      <x:c r="H20" s="60" t="n">
        <x:v>-0.3454618991432922</x:v>
      </x:c>
      <x:c r="I20" s="60" t="n">
        <x:v>0.0297939381074322</x:v>
      </x:c>
      <x:c r="J20" s="64" t="n">
        <x:v>0</x:v>
      </x:c>
    </x:row>
    <x:row r="21">
      <x:c r="A21" s="45" t="str">
        <x:v>GSE95233</x:v>
      </x:c>
      <x:c r="B21" s="46" t="str">
        <x:v>paired_delta_z</x:v>
      </x:c>
      <x:c r="C21" s="46" t="str">
        <x:v>T2</x:v>
      </x:c>
      <x:c r="D21" s="57" t="n">
        <x:v>31</x:v>
      </x:c>
      <x:c r="E21" s="61" t="n">
        <x:v>0.992741935483871</x:v>
      </x:c>
      <x:c r="F21" s="57" t="n">
        <x:v>13</x:v>
      </x:c>
      <x:c r="G21" s="61" t="n">
        <x:v>-1.0697535626942627</x:v>
      </x:c>
      <x:c r="H21" s="61" t="n">
        <x:v>-1.0684238784685032</x:v>
      </x:c>
      <x:c r="I21" s="61" t="n">
        <x:v>0.0483710634474632</x:v>
      </x:c>
      <x:c r="J21" s="65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9b18a656e74c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7" customHeight="1">
      <x:c r="A1" s="13" t="str">
        <x:v>Corrected SIG001 primary meta-analysis results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34" customHeight="1">
      <x:c r="A2" s="16" t="str">
        <x:v>These v1.1 values supersede v1.0.1 in the next manuscript and supplementary package.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42" customHeight="1">
      <x:c r="A3" s="19" t="str">
        <x:v>signature_id</x:v>
      </x:c>
      <x:c r="B3" s="19" t="str">
        <x:v>time_window</x:v>
      </x:c>
      <x:c r="C3" s="19" t="str">
        <x:v>metric</x:v>
      </x:c>
      <x:c r="D3" s="19" t="str">
        <x:v>pooled_delta_z_v1_0_1</x:v>
      </x:c>
      <x:c r="E3" s="19" t="str">
        <x:v>pooled_delta_z_v1_1</x:v>
      </x:c>
      <x:c r="F3" s="19" t="str">
        <x:v>ci95_v1_0_1</x:v>
      </x:c>
      <x:c r="G3" s="19" t="str">
        <x:v>ci95_v1_1</x:v>
      </x:c>
      <x:c r="H3" s="19" t="str">
        <x:v>prediction_interval_v1_0_1</x:v>
      </x:c>
      <x:c r="I3" s="19" t="str">
        <x:v>prediction_interval_v1_1</x:v>
      </x:c>
      <x:c r="J3" s="19" t="str">
        <x:v>I2_percent_v1_0_1</x:v>
      </x:c>
      <x:c r="K3" s="19" t="str">
        <x:v>I2_percent_v1_1</x:v>
      </x:c>
      <x:c r="L3" s="19" t="str">
        <x:v>holm_adjusted_p_v1_0_1</x:v>
      </x:c>
      <x:c r="M3" s="19" t="str">
        <x:v>holm_adjusted_p_v1_1</x:v>
      </x:c>
    </x:row>
    <x:row r="4">
      <x:c r="A4" s="48" t="str">
        <x:v>SIG001</x:v>
      </x:c>
      <x:c r="B4" s="49" t="str">
        <x:v>T24</x:v>
      </x:c>
      <x:c r="C4" s="49" t="str">
        <x:v>Primary independent meta-analysis</x:v>
      </x:c>
      <x:c r="D4" s="49" t="n">
        <x:v>-0.3782274305625036</x:v>
      </x:c>
      <x:c r="E4" s="49" t="n">
        <x:v>-0.3785770092566108</x:v>
      </x:c>
      <x:c r="F4" s="49" t="str">
        <x:v>-0.428133, -0.328322</x:v>
      </x:c>
      <x:c r="G4" s="49" t="str">
        <x:v>-0.432040, -0.325114</x:v>
      </x:c>
      <x:c r="H4" s="49" t="str">
        <x:v>-0.445699, -0.310756</x:v>
      </x:c>
      <x:c r="I4" s="49" t="str">
        <x:v>-0.450859, -0.306295</x:v>
      </x:c>
      <x:c r="J4" s="58" t="n">
        <x:v>0</x:v>
      </x:c>
      <x:c r="K4" s="58" t="n">
        <x:v>0</x:v>
      </x:c>
      <x:c r="L4" s="58" t="n">
        <x:v>0.0012496049784717</x:v>
      </x:c>
      <x:c r="M4" s="66" t="n">
        <x:v>0.0015307685866676</x:v>
      </x:c>
    </x:row>
    <x:row r="5">
      <x:c r="A5" s="45" t="str">
        <x:v>SIG001</x:v>
      </x:c>
      <x:c r="B5" s="46" t="str">
        <x:v>T48</x:v>
      </x:c>
      <x:c r="C5" s="46" t="str">
        <x:v>Primary independent meta-analysis</x:v>
      </x:c>
      <x:c r="D5" s="46" t="n">
        <x:v>-0.8537360889446006</x:v>
      </x:c>
      <x:c r="E5" s="46" t="n">
        <x:v>-0.8550776766665187</x:v>
      </x:c>
      <x:c r="F5" s="46" t="str">
        <x:v>-1.340251, -0.367221</x:v>
      </x:c>
      <x:c r="G5" s="46" t="str">
        <x:v>-1.350766, -0.359389</x:v>
      </x:c>
      <x:c r="H5" s="46" t="str">
        <x:v>-2.147307, 0.439835</x:v>
      </x:c>
      <x:c r="I5" s="46" t="str">
        <x:v>-2.175733, 0.465577</x:v>
      </x:c>
      <x:c r="J5" s="61" t="n">
        <x:v>86.98185577535162</x:v>
      </x:c>
      <x:c r="K5" s="61" t="n">
        <x:v>87.39226194985913</x:v>
      </x:c>
      <x:c r="L5" s="61" t="n">
        <x:v>0.0410361832359221</x:v>
      </x:c>
      <x:c r="M5" s="69" t="n">
        <x:v>0.0435753284400065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958b7cdd48d45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2" hidden="0" customWidth="1"/>
    <x:col min="6" max="6" width="18" hidden="0" customWidth="1"/>
  </x:cols>
  <x:sheetData>
    <x:row r="1" ht="27" customHeight="1">
      <x:c r="A1" s="13" t="str">
        <x:v>v1.0.1 versus v1.1 propagation checks</x:v>
      </x:c>
      <x:c r="B1" s="13"/>
      <x:c r="C1" s="13"/>
      <x:c r="D1" s="13"/>
      <x:c r="E1" s="13"/>
      <x:c r="F1" s="13"/>
    </x:row>
    <x:row r="2" ht="34" customHeight="1">
      <x:c r="A2" s="16" t="str">
        <x:v>Expected changes are limited to SIG001 and multiplicity propagation; classifications and principal result sets remained unchanged.</x:v>
      </x:c>
      <x:c r="B2" s="16"/>
      <x:c r="C2" s="16"/>
      <x:c r="D2" s="16"/>
      <x:c r="E2" s="16"/>
      <x:c r="F2" s="16"/>
    </x:row>
    <x:row r="3" ht="42" customHeight="1">
      <x:c r="A3" s="19" t="str">
        <x:v>domain</x:v>
      </x:c>
      <x:c r="B3" s="19" t="str">
        <x:v>signature_id</x:v>
      </x:c>
      <x:c r="C3" s="19" t="str">
        <x:v>record_n</x:v>
      </x:c>
      <x:c r="D3" s="19" t="str">
        <x:v>changed_record_n</x:v>
      </x:c>
      <x:c r="E3" s="19" t="str">
        <x:v>max_absolute_difference</x:v>
      </x:c>
      <x:c r="F3" s="19" t="str">
        <x:v>status</x:v>
      </x:c>
    </x:row>
    <x:row r="4">
      <x:c r="A4" s="48" t="str">
        <x:v>sample_scores</x:v>
      </x:c>
      <x:c r="B4" s="49" t="str">
        <x:v>SIG001</x:v>
      </x:c>
      <x:c r="C4" s="54" t="n">
        <x:v>978</x:v>
      </x:c>
      <x:c r="D4" s="54" t="n">
        <x:v>978</x:v>
      </x:c>
      <x:c r="E4" s="49" t="n">
        <x:v>1.9855668558178952</x:v>
      </x:c>
      <x:c r="F4" s="50" t="str">
        <x:v>EXPECTED_CHANGE</x:v>
      </x:c>
    </x:row>
    <x:row r="5">
      <x:c r="A5" s="42" t="str">
        <x:v>sample_scores</x:v>
      </x:c>
      <x:c r="B5" s="43" t="str">
        <x:v>SIG002</x:v>
      </x:c>
      <x:c r="C5" s="55" t="n">
        <x:v>978</x:v>
      </x:c>
      <x:c r="D5" s="55" t="n">
        <x:v>0</x:v>
      </x:c>
      <x:c r="E5" s="43" t="n">
        <x:v>0</x:v>
      </x:c>
      <x:c r="F5" s="44" t="str">
        <x:v>PASS_UNCHANGED</x:v>
      </x:c>
    </x:row>
    <x:row r="6">
      <x:c r="A6" s="51" t="str">
        <x:v>sample_scores</x:v>
      </x:c>
      <x:c r="B6" s="52" t="str">
        <x:v>SIG003</x:v>
      </x:c>
      <x:c r="C6" s="56" t="n">
        <x:v>978</x:v>
      </x:c>
      <x:c r="D6" s="56" t="n">
        <x:v>0</x:v>
      </x:c>
      <x:c r="E6" s="52" t="n">
        <x:v>0</x:v>
      </x:c>
      <x:c r="F6" s="53" t="str">
        <x:v>PASS_UNCHANGED</x:v>
      </x:c>
    </x:row>
    <x:row r="7">
      <x:c r="A7" s="42" t="str">
        <x:v>sample_scores</x:v>
      </x:c>
      <x:c r="B7" s="43" t="str">
        <x:v>SIG004</x:v>
      </x:c>
      <x:c r="C7" s="55" t="n">
        <x:v>978</x:v>
      </x:c>
      <x:c r="D7" s="55" t="n">
        <x:v>0</x:v>
      </x:c>
      <x:c r="E7" s="43" t="n">
        <x:v>0</x:v>
      </x:c>
      <x:c r="F7" s="44" t="str">
        <x:v>PASS_UNCHANGED</x:v>
      </x:c>
    </x:row>
    <x:row r="8">
      <x:c r="A8" s="51" t="str">
        <x:v>sample_scores</x:v>
      </x:c>
      <x:c r="B8" s="52" t="str">
        <x:v>SIG022</x:v>
      </x:c>
      <x:c r="C8" s="56" t="n">
        <x:v>978</x:v>
      </x:c>
      <x:c r="D8" s="56" t="n">
        <x:v>0</x:v>
      </x:c>
      <x:c r="E8" s="52" t="n">
        <x:v>0</x:v>
      </x:c>
      <x:c r="F8" s="53" t="str">
        <x:v>PASS_UNCHANGED</x:v>
      </x:c>
    </x:row>
    <x:row r="9">
      <x:c r="A9" s="42" t="str">
        <x:v>sample_scores</x:v>
      </x:c>
      <x:c r="B9" s="43" t="str">
        <x:v>SIG023</x:v>
      </x:c>
      <x:c r="C9" s="55" t="n">
        <x:v>978</x:v>
      </x:c>
      <x:c r="D9" s="55" t="n">
        <x:v>0</x:v>
      </x:c>
      <x:c r="E9" s="43" t="n">
        <x:v>0</x:v>
      </x:c>
      <x:c r="F9" s="44" t="str">
        <x:v>PASS_UNCHANGED</x:v>
      </x:c>
    </x:row>
    <x:row r="10">
      <x:c r="A10" s="51" t="str">
        <x:v>sample_scores</x:v>
      </x:c>
      <x:c r="B10" s="52" t="str">
        <x:v>SIG033</x:v>
      </x:c>
      <x:c r="C10" s="56" t="n">
        <x:v>978</x:v>
      </x:c>
      <x:c r="D10" s="56" t="n">
        <x:v>0</x:v>
      </x:c>
      <x:c r="E10" s="52" t="n">
        <x:v>0</x:v>
      </x:c>
      <x:c r="F10" s="53" t="str">
        <x:v>PASS_UNCHANGED</x:v>
      </x:c>
    </x:row>
    <x:row r="11">
      <x:c r="A11" s="42" t="str">
        <x:v>sample_scores</x:v>
      </x:c>
      <x:c r="B11" s="43" t="str">
        <x:v>SIG034</x:v>
      </x:c>
      <x:c r="C11" s="55" t="n">
        <x:v>978</x:v>
      </x:c>
      <x:c r="D11" s="55" t="n">
        <x:v>0</x:v>
      </x:c>
      <x:c r="E11" s="43" t="n">
        <x:v>0</x:v>
      </x:c>
      <x:c r="F11" s="44" t="str">
        <x:v>PASS_UNCHANGED</x:v>
      </x:c>
    </x:row>
    <x:row r="12">
      <x:c r="A12" s="51" t="str">
        <x:v>meta_analysis</x:v>
      </x:c>
      <x:c r="B12" s="52" t="str">
        <x:v>SIG001</x:v>
      </x:c>
      <x:c r="C12" s="56" t="n">
        <x:v>18</x:v>
      </x:c>
      <x:c r="D12" s="56" t="n">
        <x:v>1</x:v>
      </x:c>
      <x:c r="E12" s="52" t="n">
        <x:v>0.4104061745075142</x:v>
      </x:c>
      <x:c r="F12" s="53" t="str">
        <x:v>EXPECTED_CHANGE</x:v>
      </x:c>
    </x:row>
    <x:row r="13">
      <x:c r="A13" s="42" t="str">
        <x:v>meta_analysis</x:v>
      </x:c>
      <x:c r="B13" s="43" t="str">
        <x:v>SIG002</x:v>
      </x:c>
      <x:c r="C13" s="55" t="n">
        <x:v>17</x:v>
      </x:c>
      <x:c r="D13" s="55" t="n">
        <x:v>0</x:v>
      </x:c>
      <x:c r="E13" s="43" t="n">
        <x:v>0</x:v>
      </x:c>
      <x:c r="F13" s="44" t="str">
        <x:v>PASS_UNCHANGED</x:v>
      </x:c>
    </x:row>
    <x:row r="14">
      <x:c r="A14" s="51" t="str">
        <x:v>meta_analysis</x:v>
      </x:c>
      <x:c r="B14" s="52" t="str">
        <x:v>SIG003</x:v>
      </x:c>
      <x:c r="C14" s="56" t="n">
        <x:v>17</x:v>
      </x:c>
      <x:c r="D14" s="56" t="n">
        <x:v>0</x:v>
      </x:c>
      <x:c r="E14" s="52" t="n">
        <x:v>0</x:v>
      </x:c>
      <x:c r="F14" s="53" t="str">
        <x:v>PASS_UNCHANGED</x:v>
      </x:c>
    </x:row>
    <x:row r="15">
      <x:c r="A15" s="42" t="str">
        <x:v>meta_analysis</x:v>
      </x:c>
      <x:c r="B15" s="43" t="str">
        <x:v>SIG004</x:v>
      </x:c>
      <x:c r="C15" s="55" t="n">
        <x:v>17</x:v>
      </x:c>
      <x:c r="D15" s="55" t="n">
        <x:v>1</x:v>
      </x:c>
      <x:c r="E15" s="43" t="n">
        <x:v>0</x:v>
      </x:c>
      <x:c r="F15" s="44" t="str">
        <x:v>EXPECTED_MULTIPLICITY_PROPAGATION</x:v>
      </x:c>
    </x:row>
    <x:row r="16">
      <x:c r="A16" s="51" t="str">
        <x:v>meta_analysis</x:v>
      </x:c>
      <x:c r="B16" s="52" t="str">
        <x:v>SIG022</x:v>
      </x:c>
      <x:c r="C16" s="56" t="n">
        <x:v>19</x:v>
      </x:c>
      <x:c r="D16" s="56" t="n">
        <x:v>0</x:v>
      </x:c>
      <x:c r="E16" s="52" t="n">
        <x:v>0</x:v>
      </x:c>
      <x:c r="F16" s="53" t="str">
        <x:v>PASS_UNCHANGED</x:v>
      </x:c>
    </x:row>
    <x:row r="17">
      <x:c r="A17" s="42" t="str">
        <x:v>meta_analysis</x:v>
      </x:c>
      <x:c r="B17" s="43" t="str">
        <x:v>SIG023</x:v>
      </x:c>
      <x:c r="C17" s="55" t="n">
        <x:v>19</x:v>
      </x:c>
      <x:c r="D17" s="55" t="n">
        <x:v>0</x:v>
      </x:c>
      <x:c r="E17" s="43" t="n">
        <x:v>0</x:v>
      </x:c>
      <x:c r="F17" s="44" t="str">
        <x:v>PASS_UNCHANGED</x:v>
      </x:c>
    </x:row>
    <x:row r="18">
      <x:c r="A18" s="51" t="str">
        <x:v>meta_analysis</x:v>
      </x:c>
      <x:c r="B18" s="52" t="str">
        <x:v>SIG033</x:v>
      </x:c>
      <x:c r="C18" s="56" t="n">
        <x:v>19</x:v>
      </x:c>
      <x:c r="D18" s="56" t="n">
        <x:v>0</x:v>
      </x:c>
      <x:c r="E18" s="52" t="n">
        <x:v>0</x:v>
      </x:c>
      <x:c r="F18" s="53" t="str">
        <x:v>PASS_UNCHANGED</x:v>
      </x:c>
    </x:row>
    <x:row r="19">
      <x:c r="A19" s="42" t="str">
        <x:v>meta_analysis</x:v>
      </x:c>
      <x:c r="B19" s="43" t="str">
        <x:v>SIG034</x:v>
      </x:c>
      <x:c r="C19" s="55" t="n">
        <x:v>19</x:v>
      </x:c>
      <x:c r="D19" s="55" t="n">
        <x:v>0</x:v>
      </x:c>
      <x:c r="E19" s="43" t="n">
        <x:v>0</x:v>
      </x:c>
      <x:c r="F19" s="44" t="str">
        <x:v>PASS_UNCHANGED</x:v>
      </x:c>
    </x:row>
    <x:row r="20">
      <x:c r="A20" s="51" t="str">
        <x:v>stability_class</x:v>
      </x:c>
      <x:c r="B20" s="52" t="str">
        <x:v>ALL</x:v>
      </x:c>
      <x:c r="C20" s="56" t="n">
        <x:v>29</x:v>
      </x:c>
      <x:c r="D20" s="56" t="n">
        <x:v>0</x:v>
      </x:c>
      <x:c r="E20" s="52" t="str"/>
      <x:c r="F20" s="53" t="str">
        <x:v>PASS_UNCHANGED</x:v>
      </x:c>
    </x:row>
    <x:row r="21">
      <x:c r="A21" s="42" t="str">
        <x:v>gene_architecture_class</x:v>
      </x:c>
      <x:c r="B21" s="43" t="str">
        <x:v>ALL</x:v>
      </x:c>
      <x:c r="C21" s="55" t="n">
        <x:v>8</x:v>
      </x:c>
      <x:c r="D21" s="55" t="n">
        <x:v>0</x:v>
      </x:c>
      <x:c r="E21" s="43" t="str"/>
      <x:c r="F21" s="44" t="str">
        <x:v>PASS_UNCHANGED</x:v>
      </x:c>
    </x:row>
    <x:row r="22">
      <x:c r="A22" s="51" t="str">
        <x:v>v1_1_reconstruction</x:v>
      </x:c>
      <x:c r="B22" s="52" t="str">
        <x:v>ALL</x:v>
      </x:c>
      <x:c r="C22" s="56" t="n">
        <x:v>3344</x:v>
      </x:c>
      <x:c r="D22" s="56" t="n">
        <x:v>0</x:v>
      </x:c>
      <x:c r="E22" s="52" t="n">
        <x:v>1.7152945730458672e-14</x:v>
      </x:c>
      <x:c r="F22" s="53" t="str">
        <x:v>PASS</x:v>
      </x:c>
    </x:row>
    <x:row r="23">
      <x:c r="A23" s="42" t="str">
        <x:v>FDR_positive_pathway_coupling</x:v>
      </x:c>
      <x:c r="B23" s="43" t="str">
        <x:v>ALL</x:v>
      </x:c>
      <x:c r="C23" s="55" t="n">
        <x:v>1</x:v>
      </x:c>
      <x:c r="D23" s="55" t="n">
        <x:v>0</x:v>
      </x:c>
      <x:c r="E23" s="43" t="str"/>
      <x:c r="F23" s="44" t="str">
        <x:v>PASS_UNCHANGED</x:v>
      </x:c>
    </x:row>
    <x:row r="24">
      <x:c r="A24" s="70" t="str">
        <x:v>primary_significant_combinations</x:v>
      </x:c>
      <x:c r="B24" s="71" t="str">
        <x:v>ALL</x:v>
      </x:c>
      <x:c r="C24" s="73" t="n">
        <x:v>6</x:v>
      </x:c>
      <x:c r="D24" s="73" t="n">
        <x:v>0</x:v>
      </x:c>
      <x:c r="E24" s="71" t="str"/>
      <x:c r="F24" s="72" t="str">
        <x:v>PASS_UNCHANGED</x:v>
      </x:c>
    </x:row>
  </x:sheetData>
  <x:mergeCells>
    <x:mergeCell ref="A1:F1"/>
    <x:mergeCell ref="A2:F2"/>
  </x:mergeCells>
  <x:conditionalFormatting sqref="F4:F24">
    <x:cfRule type="containsText" dxfId="28" priority="1" operator="containsText" text="RED"/>
    <x:cfRule type="containsText" dxfId="29" priority="2" operator="containsText" text="FAIL"/>
    <x:cfRule type="containsText" dxfId="30" priority="3" operator="containsText" text="AMBER"/>
    <x:cfRule type="containsText" dxfId="31" priority="4" operator="containsText" text="EXPECTED"/>
    <x:cfRule type="containsText" dxfId="32" priority="5" operator="containsText" text="PASS"/>
    <x:cfRule type="containsText" dxfId="33" priority="6" operator="containsText" text="GREEN"/>
    <x:cfRule type="containsText" dxfId="34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c94b8ef695f842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7" customHeight="1">
      <x:c r="A1" s="13" t="str">
        <x:v>Signature implementation risk register</x:v>
      </x:c>
      <x:c r="B1" s="13"/>
      <x:c r="C1" s="13"/>
      <x:c r="D1" s="13"/>
      <x:c r="E1" s="13"/>
      <x:c r="F1" s="13"/>
      <x:c r="G1" s="13"/>
    </x:row>
    <x:row r="2" ht="34" customHeight="1">
      <x:c r="A2" s="16" t="str">
        <x:v>All red and amber findings, their evidence, impact, and required submission action.</x:v>
      </x:c>
      <x:c r="B2" s="16"/>
      <x:c r="C2" s="16"/>
      <x:c r="D2" s="16"/>
      <x:c r="E2" s="16"/>
      <x:c r="F2" s="16"/>
      <x:c r="G2" s="16"/>
    </x:row>
    <x:row r="3" ht="42" customHeight="1">
      <x:c r="A3" s="19" t="str">
        <x:v>risk_id</x:v>
      </x:c>
      <x:c r="B3" s="19" t="str">
        <x:v>severity</x:v>
      </x:c>
      <x:c r="C3" s="19" t="str">
        <x:v>status</x:v>
      </x:c>
      <x:c r="D3" s="19" t="str">
        <x:v>finding</x:v>
      </x:c>
      <x:c r="E3" s="19" t="str">
        <x:v>evidence</x:v>
      </x:c>
      <x:c r="F3" s="19" t="str">
        <x:v>impact</x:v>
      </x:c>
      <x:c r="G3" s="19" t="str">
        <x:v>required_action</x:v>
      </x:c>
    </x:row>
    <x:row r="4">
      <x:c r="A4" s="48" t="str">
        <x:v>T10.1-R01</x:v>
      </x:c>
      <x:c r="B4" s="49" t="str">
        <x:v>RED</x:v>
      </x:c>
      <x:c r="C4" s="49" t="str">
        <x:v>RESOLVED_BY_v1.1_RERUN</x:v>
      </x:c>
      <x:c r="D4" s="49" t="str">
        <x:v>SIG001 v1.0.1 omitted the published 5/6 coefficient on the five-gene down module.</x:v>
      </x:c>
      <x:c r="E4" s="49" t="str">
        <x:v>Published formula and source code comparison; all 978 SIG001 sample scores changed after correction.</x:v>
      </x:c>
      <x:c r="F4" s="49" t="str">
        <x:v>Affected SIG001 effects, intervals, I2, adjusted P values and contribution metrics.</x:v>
      </x:c>
      <x:c r="G4" s="50" t="str">
        <x:v>Use only v1.1 outputs; preserve v1.0.1 as superseded and publish a new immutable release.</x:v>
      </x:c>
    </x:row>
    <x:row r="5">
      <x:c r="A5" s="42" t="str">
        <x:v>T10.1-R02</x:v>
      </x:c>
      <x:c r="B5" s="43" t="str">
        <x:v>AMBER</x:v>
      </x:c>
      <x:c r="C5" s="43" t="str">
        <x:v>DOCUMENTATION_FIX_REQUIRED</x:v>
      </x:c>
      <x:c r="D5" s="43" t="str">
        <x:v>The old preprocessing lock CSV describes the deposited GSE236713 matrix, whereas executed code used a result-blind Agilent raw-data rescue.</x:v>
      </x:c>
      <x:c r="E5" s="43" t="str">
        <x:v>preprocess_gse236713_raw.py and raw-preprocessing QC.</x:v>
      </x:c>
      <x:c r="F5" s="43" t="str">
        <x:v>No rerun error after v1.1; Methods and data dictionary must state the executed route explicitly.</x:v>
      </x:c>
      <x:c r="G5" s="44" t="str">
        <x:v>Replace vague platform-scale wording with the actual per-array q75 scaling and log2 procedure.</x:v>
      </x:c>
    </x:row>
    <x:row r="6">
      <x:c r="A6" s="51" t="str">
        <x:v>T10.1-R03</x:v>
      </x:c>
      <x:c r="B6" s="52" t="str">
        <x:v>AMBER</x:v>
      </x:c>
      <x:c r="C6" s="52" t="str">
        <x:v>DISCLOSE</x:v>
      </x:c>
      <x:c r="D6" s="52" t="str">
        <x:v>SIG022 omits the publication common positive gene-count scalar.</x:v>
      </x:c>
      <x:c r="E6" s="52" t="str">
        <x:v>Formula registry and source article.</x:v>
      </x:c>
      <x:c r="F6" s="52" t="str">
        <x:v>Raw units differ, but ranks, signs, delta Z and standardized contributions are invariant to a common positive scalar.</x:v>
      </x:c>
      <x:c r="G6" s="53" t="str">
        <x:v>Disclose the ordering-equivalent implementation and avoid raw-score threshold claims.</x:v>
      </x:c>
    </x:row>
    <x:row r="7">
      <x:c r="A7" s="42" t="str">
        <x:v>T10.1-R04</x:v>
      </x:c>
      <x:c r="B7" s="43" t="str">
        <x:v>AMBER</x:v>
      </x:c>
      <x:c r="C7" s="43" t="str">
        <x:v>DISCLOSE</x:v>
      </x:c>
      <x:c r="D7" s="43" t="str">
        <x:v>SIG002, SIG003 and SIG004 are applied to public normalized transcriptomes rather than their assay-specific clinical measurement systems.</x:v>
      </x:c>
      <x:c r="E7" s="43" t="str">
        <x:v>Original platform/scale registry and six-cohort preprocessing table.</x:v>
      </x:c>
      <x:c r="F7" s="43" t="str">
        <x:v>Supports measurement-behavior audit only; does not transport assay thresholds or validate clinical monitoring.</x:v>
      </x:c>
      <x:c r="G7" s="44" t="str">
        <x:v>State platform transfer explicitly in Methods and claim boundary.</x:v>
      </x:c>
    </x:row>
    <x:row r="8">
      <x:c r="A8" s="51" t="str">
        <x:v>T10.1-R05</x:v>
      </x:c>
      <x:c r="B8" s="52" t="str">
        <x:v>GREEN</x:v>
      </x:c>
      <x:c r="C8" s="52" t="str">
        <x:v>PASS</x:v>
      </x:c>
      <x:c r="D8" s="52" t="str">
        <x:v>All 48 implementations have complete required-gene coverage and nonpositive inputs did not invalidate GM/ratio scores.</x:v>
      </x:c>
      <x:c r="E8" s="52" t="str">
        <x:v>Implementation_48 and Gene_Coverage sheets.</x:v>
      </x:c>
      <x:c r="F8" s="52" t="str">
        <x:v>No missing-gene imputation or outcome-based probe selection.</x:v>
      </x:c>
      <x:c r="G8" s="53" t="str">
        <x:v>Retain locked mapping and aggregation rules.</x:v>
      </x:c>
    </x:row>
    <x:row r="9">
      <x:c r="A9" s="45" t="str">
        <x:v>T10.1-R06</x:v>
      </x:c>
      <x:c r="B9" s="46" t="str">
        <x:v>GREEN</x:v>
      </x:c>
      <x:c r="C9" s="46" t="str">
        <x:v>PASS</x:v>
      </x:c>
      <x:c r="D9" s="46" t="str">
        <x:v>All 3,344 v1.1 contribution records reconstruct score change and delta Z within machine tolerance.</x:v>
      </x:c>
      <x:c r="E9" s="46" t="str">
        <x:v>Maximum delta Z error 1.7153e-14.</x:v>
      </x:c>
      <x:c r="F9" s="46" t="str">
        <x:v>Exact decomposition remains numerically valid after correction.</x:v>
      </x:c>
      <x:c r="G9" s="47" t="str">
        <x:v>Retain reconstruction gate at 1e-8.</x:v>
      </x:c>
    </x:row>
  </x:sheetData>
  <x:mergeCells>
    <x:mergeCell ref="A1:G1"/>
    <x:mergeCell ref="A2:G2"/>
  </x:mergeCells>
  <x:conditionalFormatting sqref="B4:B9">
    <x:cfRule type="containsText" dxfId="35" priority="1" operator="containsText" text="RED"/>
    <x:cfRule type="containsText" dxfId="36" priority="2" operator="containsText" text="FAIL"/>
    <x:cfRule type="containsText" dxfId="37" priority="3" operator="containsText" text="AMBER"/>
    <x:cfRule type="containsText" dxfId="38" priority="4" operator="containsText" text="EXPECTED"/>
    <x:cfRule type="containsText" dxfId="39" priority="5" operator="containsText" text="PASS"/>
    <x:cfRule type="containsText" dxfId="40" priority="6" operator="containsText" text="GREEN"/>
    <x:cfRule type="containsText" dxfId="41" priority="7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6fa3fd473e8546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27" customHeight="1">
      <x:c r="A1" s="13" t="str">
        <x:v>Historical-to-current gene-symbol map</x:v>
      </x:c>
      <x:c r="B1" s="13"/>
      <x:c r="C1" s="13"/>
    </x:row>
    <x:row r="2" ht="34" customHeight="1">
      <x:c r="A2" s="16" t="str">
        <x:v>Aliases are used for matching; current HGNC symbols are used for reporting.</x:v>
      </x:c>
      <x:c r="B2" s="16"/>
      <x:c r="C2" s="16"/>
    </x:row>
    <x:row r="3" ht="42" customHeight="1">
      <x:c r="A3" s="19" t="str">
        <x:v>historical_symbol</x:v>
      </x:c>
      <x:c r="B3" s="19" t="str">
        <x:v>current_hgnc_symbol</x:v>
      </x:c>
      <x:c r="C3" s="19" t="str">
        <x:v>datasets_with_locked_mapping</x:v>
      </x:c>
    </x:row>
    <x:row r="4">
      <x:c r="A4" s="48" t="str">
        <x:v>C9ORF95</x:v>
      </x:c>
      <x:c r="B4" s="49" t="str">
        <x:v>NMRK1</x:v>
      </x:c>
      <x:c r="C4" s="50" t="str">
        <x:v>GSE110487; GSE236713; GSE54514; GSE57065; GSE8121; GSE95233</x:v>
      </x:c>
    </x:row>
    <x:row r="5">
      <x:c r="A5" s="42" t="str">
        <x:v>KIAA1370</x:v>
      </x:c>
      <x:c r="B5" s="43" t="str">
        <x:v>FAM214A</x:v>
      </x:c>
      <x:c r="C5" s="44" t="str">
        <x:v>GSE110487; GSE236713; GSE54514; GSE57065; GSE8121; GSE95233</x:v>
      </x:c>
    </x:row>
    <x:row r="6">
      <x:c r="A6" s="51" t="str">
        <x:v>FCMR</x:v>
      </x:c>
      <x:c r="B6" s="52" t="str">
        <x:v>FAIM3</x:v>
      </x:c>
      <x:c r="C6" s="53" t="str">
        <x:v>GSE110487; GSE236713; GSE54514; GSE57065; GSE8121; GSE95233</x:v>
      </x:c>
    </x:row>
    <x:row r="7">
      <x:c r="A7" s="45" t="str">
        <x:v>C9ORF103</x:v>
      </x:c>
      <x:c r="B7" s="46" t="str">
        <x:v>IDNK</x:v>
      </x:c>
      <x:c r="C7" s="47" t="str">
        <x:v>GSE110487; GSE236713; GSE54514; GSE57065; GSE8121; GSE95233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ad8f4da1f9649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8" hidden="0" customWidth="1"/>
    <x:col min="4" max="4" width="48" hidden="0" customWidth="1"/>
  </x:cols>
  <x:sheetData>
    <x:row r="1" ht="16.799999237060547" hidden="0" customHeight="1">
      <x:c r="A1" s="13" t="str">
        <x:v>Numerical and code source trace</x:v>
      </x:c>
      <x:c r="B1" s="13"/>
      <x:c r="C1" s="13"/>
      <x:c r="D1" s="13"/>
    </x:row>
    <x:row r="2" ht="34" customHeight="1">
      <x:c r="A2" s="16" t="str">
        <x:v>Release-relative paths and SHA-256 values identify the corrected v1.1.0-rc1 artifacts traced by this registry.</x:v>
      </x:c>
      <x:c r="B2" s="16"/>
      <x:c r="C2" s="16"/>
      <x:c r="D2" s="16"/>
    </x:row>
    <x:row r="3" ht="42" customHeight="1">
      <x:c r="A3" s="19" t="str">
        <x:v>artifact</x:v>
      </x:c>
      <x:c r="B3" s="19" t="str">
        <x:v>path</x:v>
      </x:c>
      <x:c r="C3" s="19" t="str">
        <x:v>sha256</x:v>
      </x:c>
      <x:c r="D3" s="19" t="str">
        <x:v>role</x:v>
      </x:c>
    </x:row>
    <x:row r="4">
      <x:c r="A4" s="48" t="str">
        <x:v>signatures.py</x:v>
      </x:c>
      <x:c r="B4" s="49" t="str">
        <x:v>code/portable_analysis/03_00_09_environment_lock/signatures.py</x:v>
      </x:c>
      <x:c r="C4" s="49" t="str">
        <x:v>106469dd5776f7dcc9927204c310678e0854f5aec25115af77ca5b13a02e944d</x:v>
      </x:c>
      <x:c r="D4" s="50" t="str">
        <x:v>Fixed score formulas, gene sets, aliases, directions</x:v>
      </x:c>
    </x:row>
    <x:row r="5">
      <x:c r="A5" s="42" t="str">
        <x:v>run_stage3.py</x:v>
      </x:c>
      <x:c r="B5" s="43" t="str">
        <x:v>code/portable_analysis/03_00_09_environment_lock/run_stage3.py</x:v>
      </x:c>
      <x:c r="C5" s="43" t="str">
        <x:v>3cde1a59026d9313d5ba34a6ad7266f50c2377dc7007521bdb689dcf4c97d418</x:v>
      </x:c>
      <x:c r="D5" s="44" t="str">
        <x:v>Expression loading, cross-platform preprocessing, probe aggregation, scoring</x:v>
      </x:c>
    </x:row>
    <x:row r="6">
      <x:c r="A6" s="51" t="str">
        <x:v>stage4_decomposition.py</x:v>
      </x:c>
      <x:c r="B6" s="52" t="str">
        <x:v>code/portable_analysis/04_environment/stage4_decomposition.py</x:v>
      </x:c>
      <x:c r="C6" s="52" t="str">
        <x:v>0efc556c8d2b74f8f9969106df7838d97cb267b057e26e47fb6a510f529f521d</x:v>
      </x:c>
      <x:c r="D6" s="53" t="str">
        <x:v>Exact linear, Shapley and Owen contribution decomposition</x:v>
      </x:c>
    </x:row>
    <x:row r="7">
      <x:c r="A7" s="42" t="str">
        <x:v>full score matrix</x:v>
      </x:c>
      <x:c r="B7" s="43" t="str">
        <x:v>data/derived_patient_level/score_matrix.parquet</x:v>
      </x:c>
      <x:c r="C7" s="43" t="str">
        <x:v>9ee1736d7e90411f66bc6f292e704b50b7246389b2b3086f99aedccb76d4c4dc</x:v>
      </x:c>
      <x:c r="D7" s="44" t="str">
        <x:v>Corrected 7,824 sample-signature scores</x:v>
      </x:c>
    </x:row>
    <x:row r="8">
      <x:c r="A8" s="51" t="str">
        <x:v>gene contribution matrix</x:v>
      </x:c>
      <x:c r="B8" s="52" t="str">
        <x:v>data/derived_patient_level/gene_contributions.parquet</x:v>
      </x:c>
      <x:c r="C8" s="52" t="str">
        <x:v>c479856155fc81c359aaf0e53b888f730cc671042a66ad345c1d4f1fc43577c1</x:v>
      </x:c>
      <x:c r="D8" s="53" t="str">
        <x:v>Corrected 32,604 gene-contribution records</x:v>
      </x:c>
    </x:row>
    <x:row r="9">
      <x:c r="A9" s="42" t="str">
        <x:v>reconstruction QC</x:v>
      </x:c>
      <x:c r="B9" s="43" t="str">
        <x:v>reproduction_project/longitudinal_stage3/04_source_data/04_05_decomposition_reconstruction_qc.csv</x:v>
      </x:c>
      <x:c r="C9" s="43" t="str">
        <x:v>4472711928e26ae02d6fe7cd9f97b6fce600884d766fcd70ada2b0b8dcbeb0ff</x:v>
      </x:c>
      <x:c r="D9" s="44" t="str">
        <x:v>3,344 exact reconstruction checks</x:v>
      </x:c>
    </x:row>
    <x:row r="10">
      <x:c r="A10" s="70" t="str">
        <x:v>feature map</x:v>
      </x:c>
      <x:c r="B10" s="71" t="str">
        <x:v>data/platform_metadata/platform_feature_map.csv</x:v>
      </x:c>
      <x:c r="C10" s="71" t="str">
        <x:v>f4f13a2289bf6595ec435efcfe83bd025832f573d2024cb80ed5b7783f608a4d</x:v>
      </x:c>
      <x:c r="D10" s="72" t="str">
        <x:v>Platform feature-to-canonical-gene map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429230126914706"/>
  </x:tableParts>
</x:worksheet>
</file>